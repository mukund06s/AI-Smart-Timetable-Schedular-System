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s\College\Datasets\official\"/>
    </mc:Choice>
  </mc:AlternateContent>
  <xr:revisionPtr revIDLastSave="0" documentId="13_ncr:1_{3B8F7E92-5675-4EC3-B075-35ED045168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5" r:id="rId2"/>
    <sheet name="Sheet4" sheetId="4" state="hidden" r:id="rId3"/>
  </sheets>
  <definedNames>
    <definedName name="_xlnm._FilterDatabase" localSheetId="0" hidden="1">Sheet2!$A$1:$N$142</definedName>
    <definedName name="_xlnm._FilterDatabase" localSheetId="2" hidden="1">Sheet4!$J$2:$K$4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kyni4+GbhBaPjsT4QyxJ/gH2OrLU+XH3VcqXMfaifOE="/>
    </ext>
  </extLst>
</workbook>
</file>

<file path=xl/calcChain.xml><?xml version="1.0" encoding="utf-8"?>
<calcChain xmlns="http://schemas.openxmlformats.org/spreadsheetml/2006/main">
  <c r="J134" i="2" l="1"/>
  <c r="K97" i="4" l="1"/>
  <c r="J97" i="4"/>
  <c r="L97" i="4" l="1"/>
  <c r="K38" i="2"/>
  <c r="J38" i="2"/>
  <c r="L38" i="2" l="1"/>
  <c r="K106" i="4"/>
  <c r="J106" i="4"/>
  <c r="L49" i="4"/>
  <c r="L50" i="4"/>
  <c r="L51" i="4"/>
  <c r="L48" i="4"/>
  <c r="J96" i="4"/>
  <c r="K96" i="4"/>
  <c r="M96" i="4"/>
  <c r="J92" i="4"/>
  <c r="K92" i="4"/>
  <c r="M92" i="4"/>
  <c r="J88" i="4"/>
  <c r="K88" i="4"/>
  <c r="M88" i="4"/>
  <c r="J78" i="4"/>
  <c r="K78" i="4"/>
  <c r="M78" i="4"/>
  <c r="J71" i="4"/>
  <c r="K71" i="4"/>
  <c r="M71" i="4"/>
  <c r="J66" i="4"/>
  <c r="K66" i="4"/>
  <c r="M66" i="4"/>
  <c r="J60" i="4"/>
  <c r="K60" i="4"/>
  <c r="M60" i="4"/>
  <c r="J56" i="4"/>
  <c r="K56" i="4"/>
  <c r="M56" i="4"/>
  <c r="J52" i="4"/>
  <c r="K52" i="4"/>
  <c r="J47" i="4"/>
  <c r="K47" i="4"/>
  <c r="M47" i="4"/>
  <c r="J41" i="4"/>
  <c r="K41" i="4"/>
  <c r="M41" i="4"/>
  <c r="J31" i="4"/>
  <c r="K31" i="4"/>
  <c r="J26" i="4"/>
  <c r="K26" i="4"/>
  <c r="J21" i="4"/>
  <c r="K21" i="4"/>
  <c r="M21" i="4"/>
  <c r="J17" i="4"/>
  <c r="K17" i="4"/>
  <c r="M17" i="4"/>
  <c r="J13" i="4"/>
  <c r="K13" i="4"/>
  <c r="M13" i="4"/>
  <c r="J9" i="4"/>
  <c r="K9" i="4"/>
  <c r="M9" i="4"/>
  <c r="K79" i="4"/>
  <c r="J79" i="4"/>
  <c r="M5" i="4"/>
  <c r="J5" i="4"/>
  <c r="K5" i="4"/>
  <c r="J3" i="2"/>
  <c r="K3" i="2"/>
  <c r="J4" i="2"/>
  <c r="K4" i="2"/>
  <c r="J5" i="2"/>
  <c r="K5" i="2"/>
  <c r="J6" i="2"/>
  <c r="K6" i="2"/>
  <c r="J7" i="2"/>
  <c r="K7" i="2"/>
  <c r="J8" i="2"/>
  <c r="K8" i="2"/>
  <c r="J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J19" i="2"/>
  <c r="K19" i="2"/>
  <c r="J20" i="2"/>
  <c r="K20" i="2"/>
  <c r="J21" i="2"/>
  <c r="K21" i="2"/>
  <c r="J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J33" i="2"/>
  <c r="K33" i="2"/>
  <c r="J34" i="2"/>
  <c r="K34" i="2"/>
  <c r="J35" i="2"/>
  <c r="K35" i="2"/>
  <c r="J36" i="2"/>
  <c r="K36" i="2"/>
  <c r="J37" i="2"/>
  <c r="K37" i="2"/>
  <c r="J39" i="2"/>
  <c r="K39" i="2"/>
  <c r="J40" i="2"/>
  <c r="K40" i="2"/>
  <c r="J41" i="2"/>
  <c r="K41" i="2"/>
  <c r="J42" i="2"/>
  <c r="K42" i="2"/>
  <c r="J43" i="2"/>
  <c r="K43" i="2"/>
  <c r="J44" i="2"/>
  <c r="K44" i="2"/>
  <c r="J45" i="2"/>
  <c r="J46" i="2"/>
  <c r="K46" i="2"/>
  <c r="J47" i="2"/>
  <c r="K47" i="2"/>
  <c r="J48" i="2"/>
  <c r="K48" i="2"/>
  <c r="J49" i="2"/>
  <c r="K49" i="2"/>
  <c r="J50" i="2"/>
  <c r="J51" i="2"/>
  <c r="K51" i="2"/>
  <c r="J52" i="2"/>
  <c r="K52" i="2"/>
  <c r="J53" i="2"/>
  <c r="K53" i="2"/>
  <c r="J54" i="2"/>
  <c r="K54" i="2"/>
  <c r="J55" i="2"/>
  <c r="K55" i="2"/>
  <c r="J56" i="2"/>
  <c r="K56" i="2"/>
  <c r="J57" i="2"/>
  <c r="K57" i="2"/>
  <c r="J58" i="2"/>
  <c r="K58" i="2"/>
  <c r="J59" i="2"/>
  <c r="J60" i="2"/>
  <c r="K60" i="2"/>
  <c r="J61" i="2"/>
  <c r="K61" i="2"/>
  <c r="J62" i="2"/>
  <c r="K62" i="2"/>
  <c r="J63" i="2"/>
  <c r="K63" i="2"/>
  <c r="J64" i="2"/>
  <c r="K64" i="2"/>
  <c r="J65" i="2"/>
  <c r="K65" i="2"/>
  <c r="J66" i="2"/>
  <c r="K66" i="2"/>
  <c r="J67" i="2"/>
  <c r="K67" i="2"/>
  <c r="J68" i="2"/>
  <c r="K68" i="2"/>
  <c r="J69" i="2"/>
  <c r="K69" i="2"/>
  <c r="J70" i="2"/>
  <c r="K70" i="2"/>
  <c r="J71" i="2"/>
  <c r="K71" i="2"/>
  <c r="J72" i="2"/>
  <c r="K72" i="2"/>
  <c r="J73" i="2"/>
  <c r="K73" i="2"/>
  <c r="J74" i="2"/>
  <c r="J75" i="2"/>
  <c r="K75" i="2"/>
  <c r="J76" i="2"/>
  <c r="K76" i="2"/>
  <c r="J77" i="2"/>
  <c r="K77" i="2"/>
  <c r="J78" i="2"/>
  <c r="K78" i="2"/>
  <c r="J79" i="2"/>
  <c r="K79" i="2"/>
  <c r="J80" i="2"/>
  <c r="K80" i="2"/>
  <c r="J81" i="2"/>
  <c r="J82" i="2"/>
  <c r="J83" i="2"/>
  <c r="K83" i="2"/>
  <c r="J84" i="2"/>
  <c r="K84" i="2"/>
  <c r="J85" i="2"/>
  <c r="K85" i="2"/>
  <c r="J86" i="2"/>
  <c r="K86" i="2"/>
  <c r="J87" i="2"/>
  <c r="K87" i="2"/>
  <c r="J88" i="2"/>
  <c r="K88" i="2"/>
  <c r="J89" i="2"/>
  <c r="K89" i="2"/>
  <c r="J90" i="2"/>
  <c r="K90" i="2"/>
  <c r="J91" i="2"/>
  <c r="K91" i="2"/>
  <c r="J92" i="2"/>
  <c r="K92" i="2"/>
  <c r="J93" i="2"/>
  <c r="K93" i="2"/>
  <c r="J94" i="2"/>
  <c r="K94" i="2"/>
  <c r="J95" i="2"/>
  <c r="K95" i="2"/>
  <c r="J97" i="2"/>
  <c r="K97" i="2"/>
  <c r="J98" i="2"/>
  <c r="K98" i="2"/>
  <c r="J100" i="2"/>
  <c r="K100" i="2"/>
  <c r="J102" i="2"/>
  <c r="K102" i="2"/>
  <c r="J103" i="2"/>
  <c r="K103" i="2"/>
  <c r="J104" i="2"/>
  <c r="K104" i="2"/>
  <c r="J105" i="2"/>
  <c r="K105" i="2"/>
  <c r="J106" i="2"/>
  <c r="J107" i="2"/>
  <c r="K107" i="2"/>
  <c r="J109" i="2"/>
  <c r="K109" i="2"/>
  <c r="J110" i="2"/>
  <c r="K110" i="2"/>
  <c r="J111" i="2"/>
  <c r="K111" i="2"/>
  <c r="J113" i="2"/>
  <c r="K113" i="2"/>
  <c r="J115" i="2"/>
  <c r="K115" i="2"/>
  <c r="J116" i="2"/>
  <c r="K116" i="2"/>
  <c r="J117" i="2"/>
  <c r="K117" i="2"/>
  <c r="J118" i="2"/>
  <c r="K118" i="2"/>
  <c r="J119" i="2"/>
  <c r="K119" i="2"/>
  <c r="J120" i="2"/>
  <c r="K120" i="2"/>
  <c r="J121" i="2"/>
  <c r="K121" i="2"/>
  <c r="J122" i="2"/>
  <c r="K122" i="2"/>
  <c r="J123" i="2"/>
  <c r="K123" i="2"/>
  <c r="J124" i="2"/>
  <c r="K124" i="2"/>
  <c r="J125" i="2"/>
  <c r="K125" i="2"/>
  <c r="J126" i="2"/>
  <c r="K126" i="2"/>
  <c r="J127" i="2"/>
  <c r="K127" i="2"/>
  <c r="J128" i="2"/>
  <c r="K128" i="2"/>
  <c r="J129" i="2"/>
  <c r="K129" i="2"/>
  <c r="J130" i="2"/>
  <c r="K130" i="2"/>
  <c r="J131" i="2"/>
  <c r="K131" i="2"/>
  <c r="J132" i="2"/>
  <c r="K132" i="2"/>
  <c r="J133" i="2"/>
  <c r="K133" i="2"/>
  <c r="K2" i="2"/>
  <c r="J2" i="2"/>
  <c r="L52" i="4" l="1"/>
  <c r="L98" i="2"/>
  <c r="L95" i="2"/>
  <c r="L93" i="2"/>
  <c r="L89" i="2"/>
  <c r="L85" i="2"/>
  <c r="L83" i="2"/>
  <c r="L81" i="2"/>
  <c r="L79" i="2"/>
  <c r="L77" i="2"/>
  <c r="L75" i="2"/>
  <c r="L73" i="2"/>
  <c r="L71" i="2"/>
  <c r="L69" i="2"/>
  <c r="L67" i="2"/>
  <c r="L65" i="2"/>
  <c r="L63" i="2"/>
  <c r="L61" i="2"/>
  <c r="L59" i="2"/>
  <c r="L57" i="2"/>
  <c r="L53" i="2"/>
  <c r="L51" i="2"/>
  <c r="L49" i="2"/>
  <c r="L47" i="2"/>
  <c r="L2" i="2"/>
  <c r="L132" i="2"/>
  <c r="L130" i="2"/>
  <c r="L128" i="2"/>
  <c r="L126" i="2"/>
  <c r="L122" i="2"/>
  <c r="L120" i="2"/>
  <c r="L118" i="2"/>
  <c r="L116" i="2"/>
  <c r="L110" i="2"/>
  <c r="L105" i="2"/>
  <c r="L103" i="2"/>
  <c r="L133" i="2"/>
  <c r="L131" i="2"/>
  <c r="L129" i="2"/>
  <c r="L127" i="2"/>
  <c r="L125" i="2"/>
  <c r="L124" i="2"/>
  <c r="L121" i="2"/>
  <c r="L119" i="2"/>
  <c r="L117" i="2"/>
  <c r="L115" i="2"/>
  <c r="L104" i="2"/>
  <c r="L45" i="2"/>
  <c r="L43" i="2"/>
  <c r="L41" i="2"/>
  <c r="L39" i="2"/>
  <c r="L37" i="2"/>
  <c r="L35" i="2"/>
  <c r="L33" i="2"/>
  <c r="L31" i="2"/>
  <c r="L29" i="2"/>
  <c r="L27" i="2"/>
  <c r="L25" i="2"/>
  <c r="L23" i="2"/>
  <c r="L21" i="2"/>
  <c r="L19" i="2"/>
  <c r="L17" i="2"/>
  <c r="L15" i="2"/>
  <c r="L13" i="2"/>
  <c r="L11" i="2"/>
  <c r="L7" i="2"/>
  <c r="L4" i="2"/>
  <c r="L5" i="2"/>
  <c r="L3" i="2"/>
  <c r="L94" i="2"/>
  <c r="L92" i="2"/>
  <c r="L90" i="2"/>
  <c r="L88" i="2"/>
  <c r="L86" i="2"/>
  <c r="L84" i="2"/>
  <c r="L82" i="2"/>
  <c r="L80" i="2"/>
  <c r="L78" i="2"/>
  <c r="L76" i="2"/>
  <c r="L74" i="2"/>
  <c r="L72" i="2"/>
  <c r="L70" i="2"/>
  <c r="L68" i="2"/>
  <c r="L66" i="2"/>
  <c r="L62" i="2"/>
  <c r="L60" i="2"/>
  <c r="L58" i="2"/>
  <c r="L56" i="2"/>
  <c r="L54" i="2"/>
  <c r="L52" i="2"/>
  <c r="L50" i="2"/>
  <c r="L48" i="2"/>
  <c r="L46" i="2"/>
  <c r="L44" i="2"/>
  <c r="L42" i="2"/>
  <c r="L40" i="2"/>
  <c r="L36" i="2"/>
  <c r="L34" i="2"/>
  <c r="L32" i="2"/>
  <c r="L30" i="2"/>
  <c r="L28" i="2"/>
  <c r="L26" i="2"/>
  <c r="L24" i="2"/>
  <c r="L22" i="2"/>
  <c r="L20" i="2"/>
  <c r="L18" i="2"/>
  <c r="L16" i="2"/>
  <c r="L14" i="2"/>
  <c r="L12" i="2"/>
  <c r="L10" i="2"/>
  <c r="L8" i="2"/>
  <c r="L6" i="2"/>
  <c r="K37" i="4"/>
  <c r="J37" i="4"/>
</calcChain>
</file>

<file path=xl/sharedStrings.xml><?xml version="1.0" encoding="utf-8"?>
<sst xmlns="http://schemas.openxmlformats.org/spreadsheetml/2006/main" count="1245" uniqueCount="161">
  <si>
    <t>S.No.</t>
  </si>
  <si>
    <t>Program</t>
  </si>
  <si>
    <t>Sem</t>
  </si>
  <si>
    <t>Section</t>
  </si>
  <si>
    <t>Batch</t>
  </si>
  <si>
    <t>Name of the Module</t>
  </si>
  <si>
    <t>Theory Hours per week</t>
  </si>
  <si>
    <t>Practicals Hours per week</t>
  </si>
  <si>
    <t>Tutorials Hours per week</t>
  </si>
  <si>
    <t>VK</t>
  </si>
  <si>
    <t>MJ</t>
  </si>
  <si>
    <t>DS</t>
  </si>
  <si>
    <t>RGM</t>
  </si>
  <si>
    <t>HG</t>
  </si>
  <si>
    <t>NA</t>
  </si>
  <si>
    <t>AR</t>
  </si>
  <si>
    <t>JP</t>
  </si>
  <si>
    <t>AS</t>
  </si>
  <si>
    <t>DG</t>
  </si>
  <si>
    <t>ADS</t>
  </si>
  <si>
    <t>GP</t>
  </si>
  <si>
    <t>SS</t>
  </si>
  <si>
    <t>MG</t>
  </si>
  <si>
    <t>PS</t>
  </si>
  <si>
    <t>RD</t>
  </si>
  <si>
    <t>AC</t>
  </si>
  <si>
    <t>NG</t>
  </si>
  <si>
    <t>SO</t>
  </si>
  <si>
    <t>PST</t>
  </si>
  <si>
    <t>VJ</t>
  </si>
  <si>
    <t>VG</t>
  </si>
  <si>
    <t>AP</t>
  </si>
  <si>
    <t xml:space="preserve">B.Tech </t>
  </si>
  <si>
    <t>II</t>
  </si>
  <si>
    <t>A</t>
  </si>
  <si>
    <t>Linear Algebra and Differential Equations</t>
  </si>
  <si>
    <t xml:space="preserve">Quantum Physics  </t>
  </si>
  <si>
    <t>Object Oriented Programming</t>
  </si>
  <si>
    <t>Object Oriented Programming Lab</t>
  </si>
  <si>
    <t>Basic Electrical and Electronics Engineering</t>
  </si>
  <si>
    <t>Product Realization</t>
  </si>
  <si>
    <t>English Communication</t>
  </si>
  <si>
    <t>Web Development</t>
  </si>
  <si>
    <t>Constitution of India</t>
  </si>
  <si>
    <t>B</t>
  </si>
  <si>
    <t>AIDS</t>
  </si>
  <si>
    <t>Data Wrangling</t>
  </si>
  <si>
    <t>Elements of Biology</t>
  </si>
  <si>
    <t>Principles of Economics and Management</t>
  </si>
  <si>
    <t>Programming with Python</t>
  </si>
  <si>
    <t>Environmental Studies</t>
  </si>
  <si>
    <t>Transforming Ideas to Innovation</t>
  </si>
  <si>
    <t>MBA Tech</t>
  </si>
  <si>
    <t xml:space="preserve">Business Communication </t>
  </si>
  <si>
    <t>Microeconomics</t>
  </si>
  <si>
    <t>IV</t>
  </si>
  <si>
    <t xml:space="preserve">Complex Variables and Transforms </t>
  </si>
  <si>
    <t xml:space="preserve">Computer Organization and Architecture    </t>
  </si>
  <si>
    <t xml:space="preserve">Design and Analysis of Algorithms </t>
  </si>
  <si>
    <t>Database Management Systems</t>
  </si>
  <si>
    <t>Microprocessor and Microcontroller</t>
  </si>
  <si>
    <t>Theoretical Computer Science</t>
  </si>
  <si>
    <t xml:space="preserve">Web Programming </t>
  </si>
  <si>
    <t>Object Oriented Programming through JAVA</t>
  </si>
  <si>
    <t>Design Experience I</t>
  </si>
  <si>
    <t>Optimization Techniques</t>
  </si>
  <si>
    <t>Machine Learning</t>
  </si>
  <si>
    <t>Signal and Image Processing</t>
  </si>
  <si>
    <t>Artificial Intelligence</t>
  </si>
  <si>
    <t>Management Accounting for Engineers</t>
  </si>
  <si>
    <t>Integral Transforms</t>
  </si>
  <si>
    <t xml:space="preserve">MBA Tech </t>
  </si>
  <si>
    <t>B.Tech</t>
  </si>
  <si>
    <t>VI</t>
  </si>
  <si>
    <t>Cyber Security</t>
  </si>
  <si>
    <t>Distributed Computing</t>
  </si>
  <si>
    <t>elective</t>
  </si>
  <si>
    <t>Computer Vision</t>
  </si>
  <si>
    <t>Business Information Visualization and Analysis</t>
  </si>
  <si>
    <t xml:space="preserve">elective </t>
  </si>
  <si>
    <t>III</t>
  </si>
  <si>
    <t>Biometrics</t>
  </si>
  <si>
    <t xml:space="preserve">Interpersonal Skills </t>
  </si>
  <si>
    <t>X</t>
  </si>
  <si>
    <t>Azile and Prod Dev.</t>
  </si>
  <si>
    <t>Deep Learning</t>
  </si>
  <si>
    <t>Interpersonal Skills</t>
  </si>
  <si>
    <t>DE III Predictive Analytics</t>
  </si>
  <si>
    <t>DE IV Recommendation systems</t>
  </si>
  <si>
    <t>OE 3  Disaster Management</t>
  </si>
  <si>
    <t>OE 4  Management through Movies</t>
  </si>
  <si>
    <t>VIII</t>
  </si>
  <si>
    <t xml:space="preserve">Capstone Project </t>
  </si>
  <si>
    <t>Elective</t>
  </si>
  <si>
    <t>Cyber Forensics</t>
  </si>
  <si>
    <t xml:space="preserve">Business Analytics </t>
  </si>
  <si>
    <t>Logistics and Supplychain Management</t>
  </si>
  <si>
    <t>Financial Management</t>
  </si>
  <si>
    <t>B2B Marketing</t>
  </si>
  <si>
    <t>Contract, Competition and Consumer Laws</t>
  </si>
  <si>
    <t>Organizational Behaviour</t>
  </si>
  <si>
    <t>Business Research Methods</t>
  </si>
  <si>
    <t>Personal Skills for Business</t>
  </si>
  <si>
    <t>Information System Management</t>
  </si>
  <si>
    <t>Faculty</t>
  </si>
  <si>
    <t>Total</t>
  </si>
  <si>
    <t>MJ/SS</t>
  </si>
  <si>
    <t xml:space="preserve">PS </t>
  </si>
  <si>
    <t xml:space="preserve">MJ </t>
  </si>
  <si>
    <t>RR(VF)</t>
  </si>
  <si>
    <t>TheoryLoad</t>
  </si>
  <si>
    <t>Practical Load</t>
  </si>
  <si>
    <t>Tut</t>
  </si>
  <si>
    <t>Strategic management</t>
  </si>
  <si>
    <t>Open Elective III: Basic Decision with spreadsheet</t>
  </si>
  <si>
    <t>Open Elective III: Disaster Management</t>
  </si>
  <si>
    <t>Open Elective IV: Management through Movies</t>
  </si>
  <si>
    <t>Open Elective IV: Project Management</t>
  </si>
  <si>
    <t>MBA Tech/B.Tech</t>
  </si>
  <si>
    <t xml:space="preserve"> DE-II Computer Vision</t>
  </si>
  <si>
    <t>DE-II Business Information Visualization and Analysis</t>
  </si>
  <si>
    <t>DE-III Biometrics</t>
  </si>
  <si>
    <t>DE- II Computer Vision</t>
  </si>
  <si>
    <t>DE-III Microservices and Architecture</t>
  </si>
  <si>
    <t>RGM/GP</t>
  </si>
  <si>
    <t>SG</t>
  </si>
  <si>
    <t>JG</t>
  </si>
  <si>
    <t>SP</t>
  </si>
  <si>
    <t>PM</t>
  </si>
  <si>
    <t>NG1</t>
  </si>
  <si>
    <t xml:space="preserve">MBA </t>
  </si>
  <si>
    <t>PM (Praveen modi</t>
  </si>
  <si>
    <t>Micro service architecture</t>
  </si>
  <si>
    <t>NG1 + rg</t>
  </si>
  <si>
    <t>RGM - NG1</t>
  </si>
  <si>
    <t>x</t>
  </si>
  <si>
    <t>Strategic Management</t>
  </si>
  <si>
    <t>Sustainabale business management\</t>
  </si>
  <si>
    <t>Enterpreneurship</t>
  </si>
  <si>
    <t>Data Visualization for Business Decisions</t>
  </si>
  <si>
    <t>Analysing Unstructured Data</t>
  </si>
  <si>
    <t>Financial Planning and Portfolio Management</t>
  </si>
  <si>
    <t>Financial Risk Management</t>
  </si>
  <si>
    <t>Industry 4.0</t>
  </si>
  <si>
    <t>Project Risk Management</t>
  </si>
  <si>
    <t>LAW FACULTY(AKSHAY GARG)</t>
  </si>
  <si>
    <t>Dr. SUMAN VERMA (VF)</t>
  </si>
  <si>
    <t>Mr. Rajesh Rathore and also consult with Mr. Pushpanjay for number of hours</t>
  </si>
  <si>
    <t>1 LAB FOR Dr. Nirmal Gupta</t>
  </si>
  <si>
    <t>NG1 (Dr. Nirmal Gupta)</t>
  </si>
  <si>
    <t>SP (Dr. Sandeep Patil)</t>
  </si>
  <si>
    <t>MB (DR MONICA BHATIA)</t>
  </si>
  <si>
    <t>4HRS REMAINING</t>
  </si>
  <si>
    <t>AS- 5 hrs /NG-2 hrs</t>
  </si>
  <si>
    <t>LAW FACULTY- Kalyani Shukla</t>
  </si>
  <si>
    <t>SOPNA</t>
  </si>
  <si>
    <t>KJ ( 4HRS.) + 2HRS Lab</t>
  </si>
  <si>
    <t>Karishma Jagtap+ Dr. Nidhi Asthana</t>
  </si>
  <si>
    <t>with A</t>
  </si>
  <si>
    <t>WITH A</t>
  </si>
  <si>
    <t>Vippa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</si>
</sst>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&quot;Book Antiqua&quot;"/>
    </font>
    <font>
      <sz val="11"/>
      <color theme="0"/>
      <name val="Calibri"/>
      <family val="2"/>
      <scheme val="minor"/>
    </font>
    <font>
      <sz val="11"/>
      <color theme="0"/>
      <name val="Times New Roman"/>
      <family val="1"/>
    </font>
    <font>
      <sz val="11"/>
      <color theme="0"/>
      <name val="&quot;Book Antiqua&quot;"/>
    </font>
    <font>
      <b/>
      <sz val="11"/>
      <color theme="0"/>
      <name val="Calibri"/>
      <family val="2"/>
      <scheme val="minor"/>
    </font>
  </fonts>
  <fills count="7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theme="4"/>
        <bgColor theme="4"/>
      </patternFill>
    </fill>
    <fill>
      <patternFill patternType="solid">
        <fgColor rgb="FF6D9EEB"/>
        <bgColor rgb="FF6D9EEB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9CC2E5"/>
      </patternFill>
    </fill>
    <fill>
      <patternFill patternType="solid">
        <fgColor theme="0"/>
        <bgColor rgb="FFF4B083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DEEAF6"/>
      </patternFill>
    </fill>
    <fill>
      <patternFill patternType="solid">
        <fgColor rgb="FFFFFF00"/>
        <bgColor rgb="FF6D9EEB"/>
      </patternFill>
    </fill>
    <fill>
      <patternFill patternType="solid">
        <fgColor rgb="FFFFFF00"/>
        <bgColor rgb="FFFFE598"/>
      </patternFill>
    </fill>
    <fill>
      <patternFill patternType="solid">
        <fgColor theme="4" tint="0.39997558519241921"/>
        <bgColor rgb="FF9CC2E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rgb="FFFBE4D5"/>
      </patternFill>
    </fill>
    <fill>
      <patternFill patternType="solid">
        <fgColor theme="4" tint="0.79998168889431442"/>
        <bgColor rgb="FF9CC2E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4B083"/>
      </patternFill>
    </fill>
    <fill>
      <patternFill patternType="solid">
        <fgColor theme="4" tint="0.79998168889431442"/>
        <bgColor rgb="FFA8D08D"/>
      </patternFill>
    </fill>
    <fill>
      <patternFill patternType="solid">
        <fgColor theme="4" tint="0.79998168889431442"/>
        <bgColor rgb="FFB4C6E7"/>
      </patternFill>
    </fill>
    <fill>
      <patternFill patternType="solid">
        <fgColor theme="4" tint="0.79998168889431442"/>
        <bgColor rgb="FFE2EFD9"/>
      </patternFill>
    </fill>
    <fill>
      <patternFill patternType="solid">
        <fgColor rgb="FFFF0000"/>
        <bgColor rgb="FFDEEAF6"/>
      </patternFill>
    </fill>
    <fill>
      <patternFill patternType="solid">
        <fgColor rgb="FFFF0000"/>
        <bgColor rgb="FF6D9EEB"/>
      </patternFill>
    </fill>
    <fill>
      <patternFill patternType="solid">
        <fgColor rgb="FFFF0000"/>
        <bgColor rgb="FFFFE598"/>
      </patternFill>
    </fill>
    <fill>
      <patternFill patternType="solid">
        <fgColor theme="5" tint="0.39997558519241921"/>
        <bgColor rgb="FF9CC2E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7" tint="0.39997558519241921"/>
        <bgColor rgb="FF9CC2E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rgb="FFA8D08D"/>
      </patternFill>
    </fill>
    <fill>
      <patternFill patternType="solid">
        <fgColor theme="9" tint="0.39997558519241921"/>
        <bgColor rgb="FF9CC2E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B4C6E7"/>
      </patternFill>
    </fill>
    <fill>
      <patternFill patternType="solid">
        <fgColor theme="9" tint="0.79998168889431442"/>
        <bgColor rgb="FFE2EFD9"/>
      </patternFill>
    </fill>
    <fill>
      <patternFill patternType="solid">
        <fgColor theme="9" tint="0.79998168889431442"/>
        <bgColor rgb="FF9CC2E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B4C6E7"/>
      </patternFill>
    </fill>
    <fill>
      <patternFill patternType="solid">
        <fgColor theme="7" tint="0.39997558519241921"/>
        <bgColor rgb="FFFFE598"/>
      </patternFill>
    </fill>
    <fill>
      <patternFill patternType="solid">
        <fgColor theme="5" tint="0.39997558519241921"/>
        <bgColor rgb="FFF4B083"/>
      </patternFill>
    </fill>
    <fill>
      <patternFill patternType="solid">
        <fgColor rgb="FF00B0F0"/>
        <bgColor rgb="FFFFE598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9CC2E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rgb="FF9CC2E5"/>
      </patternFill>
    </fill>
    <fill>
      <patternFill patternType="solid">
        <fgColor theme="5" tint="0.59999389629810485"/>
        <bgColor theme="4"/>
      </patternFill>
    </fill>
    <fill>
      <patternFill patternType="solid">
        <fgColor theme="5" tint="0.59999389629810485"/>
        <bgColor rgb="FF9CC2E5"/>
      </patternFill>
    </fill>
    <fill>
      <patternFill patternType="solid">
        <fgColor rgb="FF00B0F0"/>
        <bgColor rgb="FF6D9EEB"/>
      </patternFill>
    </fill>
    <fill>
      <patternFill patternType="solid">
        <fgColor rgb="FF00B0F0"/>
        <bgColor theme="4"/>
      </patternFill>
    </fill>
    <fill>
      <patternFill patternType="solid">
        <fgColor theme="5" tint="0.59999389629810485"/>
        <bgColor rgb="FFFBE4D5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9CC2E5"/>
      </patternFill>
    </fill>
    <fill>
      <patternFill patternType="solid">
        <fgColor theme="1"/>
        <bgColor rgb="FFDEEAF6"/>
      </patternFill>
    </fill>
    <fill>
      <patternFill patternType="solid">
        <fgColor theme="1"/>
        <bgColor theme="4"/>
      </patternFill>
    </fill>
    <fill>
      <patternFill patternType="solid">
        <fgColor theme="1"/>
        <bgColor rgb="FF6D9EEB"/>
      </patternFill>
    </fill>
    <fill>
      <patternFill patternType="solid">
        <fgColor theme="1"/>
        <bgColor rgb="FFFFE598"/>
      </patternFill>
    </fill>
    <fill>
      <patternFill patternType="solid">
        <fgColor theme="1"/>
        <bgColor rgb="FFF4B083"/>
      </patternFill>
    </fill>
    <fill>
      <patternFill patternType="solid">
        <fgColor theme="1"/>
        <bgColor rgb="FFFBE4D5"/>
      </patternFill>
    </fill>
    <fill>
      <patternFill patternType="solid">
        <fgColor theme="1"/>
        <bgColor rgb="FFB4C6E7"/>
      </patternFill>
    </fill>
    <fill>
      <patternFill patternType="solid">
        <fgColor theme="1"/>
        <bgColor rgb="FFA8D08D"/>
      </patternFill>
    </fill>
    <fill>
      <patternFill patternType="solid">
        <fgColor theme="1"/>
        <bgColor rgb="FFE2EFD9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3" xfId="0" applyFont="1" applyFill="1" applyBorder="1"/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7" fillId="5" borderId="4" xfId="0" applyFont="1" applyFill="1" applyBorder="1"/>
    <xf numFmtId="0" fontId="6" fillId="5" borderId="5" xfId="0" applyFont="1" applyFill="1" applyBorder="1" applyAlignment="1">
      <alignment horizontal="center"/>
    </xf>
    <xf numFmtId="0" fontId="7" fillId="4" borderId="4" xfId="0" applyFont="1" applyFill="1" applyBorder="1"/>
    <xf numFmtId="0" fontId="6" fillId="6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6" fillId="11" borderId="5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6" fillId="2" borderId="6" xfId="0" applyFont="1" applyFill="1" applyBorder="1"/>
    <xf numFmtId="0" fontId="6" fillId="4" borderId="7" xfId="0" applyFont="1" applyFill="1" applyBorder="1" applyAlignment="1">
      <alignment horizontal="center"/>
    </xf>
    <xf numFmtId="0" fontId="0" fillId="0" borderId="7" xfId="0" applyBorder="1"/>
    <xf numFmtId="0" fontId="6" fillId="3" borderId="7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0" fontId="0" fillId="14" borderId="7" xfId="0" applyFill="1" applyBorder="1"/>
    <xf numFmtId="0" fontId="0" fillId="14" borderId="0" xfId="0" applyFill="1"/>
    <xf numFmtId="0" fontId="0" fillId="15" borderId="7" xfId="0" applyFill="1" applyBorder="1"/>
    <xf numFmtId="0" fontId="6" fillId="4" borderId="0" xfId="0" applyFont="1" applyFill="1" applyAlignment="1">
      <alignment horizontal="center"/>
    </xf>
    <xf numFmtId="0" fontId="0" fillId="13" borderId="7" xfId="0" applyFill="1" applyBorder="1"/>
    <xf numFmtId="0" fontId="6" fillId="16" borderId="4" xfId="0" applyFont="1" applyFill="1" applyBorder="1" applyAlignment="1">
      <alignment horizontal="center"/>
    </xf>
    <xf numFmtId="0" fontId="7" fillId="16" borderId="4" xfId="0" applyFont="1" applyFill="1" applyBorder="1"/>
    <xf numFmtId="0" fontId="6" fillId="16" borderId="5" xfId="0" applyFont="1" applyFill="1" applyBorder="1" applyAlignment="1">
      <alignment horizontal="center"/>
    </xf>
    <xf numFmtId="0" fontId="6" fillId="16" borderId="7" xfId="0" applyFont="1" applyFill="1" applyBorder="1" applyAlignment="1">
      <alignment horizontal="center"/>
    </xf>
    <xf numFmtId="0" fontId="0" fillId="13" borderId="0" xfId="0" applyFill="1"/>
    <xf numFmtId="0" fontId="6" fillId="17" borderId="4" xfId="0" applyFont="1" applyFill="1" applyBorder="1" applyAlignment="1">
      <alignment horizontal="center"/>
    </xf>
    <xf numFmtId="0" fontId="6" fillId="17" borderId="5" xfId="0" applyFont="1" applyFill="1" applyBorder="1" applyAlignment="1">
      <alignment horizontal="center"/>
    </xf>
    <xf numFmtId="0" fontId="6" fillId="17" borderId="7" xfId="0" applyFont="1" applyFill="1" applyBorder="1" applyAlignment="1">
      <alignment horizontal="center"/>
    </xf>
    <xf numFmtId="0" fontId="6" fillId="18" borderId="7" xfId="0" applyFont="1" applyFill="1" applyBorder="1" applyAlignment="1">
      <alignment horizontal="center"/>
    </xf>
    <xf numFmtId="0" fontId="0" fillId="19" borderId="7" xfId="0" applyFill="1" applyBorder="1"/>
    <xf numFmtId="0" fontId="0" fillId="19" borderId="0" xfId="0" applyFill="1"/>
    <xf numFmtId="0" fontId="6" fillId="7" borderId="0" xfId="0" applyFont="1" applyFill="1" applyAlignment="1">
      <alignment horizontal="center"/>
    </xf>
    <xf numFmtId="0" fontId="0" fillId="15" borderId="0" xfId="0" applyFill="1"/>
    <xf numFmtId="0" fontId="6" fillId="20" borderId="4" xfId="0" applyFont="1" applyFill="1" applyBorder="1" applyAlignment="1">
      <alignment horizontal="center"/>
    </xf>
    <xf numFmtId="0" fontId="6" fillId="20" borderId="5" xfId="0" applyFont="1" applyFill="1" applyBorder="1" applyAlignment="1">
      <alignment horizontal="center"/>
    </xf>
    <xf numFmtId="0" fontId="6" fillId="20" borderId="7" xfId="0" applyFont="1" applyFill="1" applyBorder="1" applyAlignment="1">
      <alignment horizontal="center"/>
    </xf>
    <xf numFmtId="0" fontId="6" fillId="21" borderId="4" xfId="0" applyFont="1" applyFill="1" applyBorder="1" applyAlignment="1">
      <alignment horizontal="center"/>
    </xf>
    <xf numFmtId="0" fontId="6" fillId="21" borderId="5" xfId="0" applyFont="1" applyFill="1" applyBorder="1" applyAlignment="1">
      <alignment horizontal="center"/>
    </xf>
    <xf numFmtId="0" fontId="6" fillId="21" borderId="7" xfId="0" applyFont="1" applyFill="1" applyBorder="1" applyAlignment="1">
      <alignment horizontal="center"/>
    </xf>
    <xf numFmtId="0" fontId="6" fillId="22" borderId="4" xfId="0" applyFont="1" applyFill="1" applyBorder="1" applyAlignment="1">
      <alignment horizontal="center"/>
    </xf>
    <xf numFmtId="0" fontId="6" fillId="22" borderId="5" xfId="0" applyFont="1" applyFill="1" applyBorder="1" applyAlignment="1">
      <alignment horizontal="center"/>
    </xf>
    <xf numFmtId="0" fontId="6" fillId="22" borderId="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11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6" fillId="23" borderId="7" xfId="0" applyFont="1" applyFill="1" applyBorder="1" applyAlignment="1">
      <alignment horizontal="center"/>
    </xf>
    <xf numFmtId="0" fontId="0" fillId="24" borderId="0" xfId="0" applyFill="1"/>
    <xf numFmtId="0" fontId="5" fillId="0" borderId="7" xfId="0" applyFont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0" fontId="6" fillId="25" borderId="4" xfId="0" applyFont="1" applyFill="1" applyBorder="1" applyAlignment="1">
      <alignment horizontal="center"/>
    </xf>
    <xf numFmtId="0" fontId="6" fillId="25" borderId="4" xfId="0" applyFont="1" applyFill="1" applyBorder="1" applyAlignment="1">
      <alignment horizontal="left"/>
    </xf>
    <xf numFmtId="0" fontId="6" fillId="25" borderId="5" xfId="0" applyFont="1" applyFill="1" applyBorder="1" applyAlignment="1">
      <alignment horizontal="center"/>
    </xf>
    <xf numFmtId="0" fontId="6" fillId="25" borderId="7" xfId="0" applyFont="1" applyFill="1" applyBorder="1" applyAlignment="1">
      <alignment horizontal="center"/>
    </xf>
    <xf numFmtId="0" fontId="6" fillId="26" borderId="7" xfId="0" applyFont="1" applyFill="1" applyBorder="1" applyAlignment="1">
      <alignment horizontal="center"/>
    </xf>
    <xf numFmtId="0" fontId="5" fillId="27" borderId="7" xfId="0" applyFont="1" applyFill="1" applyBorder="1" applyAlignment="1">
      <alignment horizontal="center"/>
    </xf>
    <xf numFmtId="0" fontId="0" fillId="27" borderId="0" xfId="0" applyFill="1"/>
    <xf numFmtId="0" fontId="6" fillId="28" borderId="4" xfId="0" applyFont="1" applyFill="1" applyBorder="1" applyAlignment="1">
      <alignment horizontal="center"/>
    </xf>
    <xf numFmtId="0" fontId="6" fillId="28" borderId="4" xfId="0" applyFont="1" applyFill="1" applyBorder="1" applyAlignment="1">
      <alignment horizontal="left"/>
    </xf>
    <xf numFmtId="0" fontId="6" fillId="28" borderId="5" xfId="0" applyFont="1" applyFill="1" applyBorder="1" applyAlignment="1">
      <alignment horizontal="center"/>
    </xf>
    <xf numFmtId="0" fontId="6" fillId="28" borderId="7" xfId="0" applyFont="1" applyFill="1" applyBorder="1" applyAlignment="1">
      <alignment horizontal="center"/>
    </xf>
    <xf numFmtId="0" fontId="6" fillId="29" borderId="4" xfId="0" applyFont="1" applyFill="1" applyBorder="1" applyAlignment="1">
      <alignment horizontal="center"/>
    </xf>
    <xf numFmtId="0" fontId="6" fillId="30" borderId="4" xfId="0" applyFont="1" applyFill="1" applyBorder="1" applyAlignment="1">
      <alignment horizontal="center"/>
    </xf>
    <xf numFmtId="0" fontId="6" fillId="30" borderId="4" xfId="0" applyFont="1" applyFill="1" applyBorder="1" applyAlignment="1">
      <alignment horizontal="left"/>
    </xf>
    <xf numFmtId="0" fontId="6" fillId="29" borderId="5" xfId="0" applyFont="1" applyFill="1" applyBorder="1" applyAlignment="1">
      <alignment horizontal="center"/>
    </xf>
    <xf numFmtId="0" fontId="6" fillId="29" borderId="7" xfId="0" applyFont="1" applyFill="1" applyBorder="1" applyAlignment="1">
      <alignment horizontal="center"/>
    </xf>
    <xf numFmtId="0" fontId="6" fillId="31" borderId="4" xfId="0" applyFont="1" applyFill="1" applyBorder="1" applyAlignment="1">
      <alignment horizontal="center"/>
    </xf>
    <xf numFmtId="0" fontId="6" fillId="31" borderId="5" xfId="0" applyFont="1" applyFill="1" applyBorder="1" applyAlignment="1">
      <alignment horizontal="center"/>
    </xf>
    <xf numFmtId="0" fontId="6" fillId="31" borderId="7" xfId="0" applyFont="1" applyFill="1" applyBorder="1" applyAlignment="1">
      <alignment horizontal="center"/>
    </xf>
    <xf numFmtId="0" fontId="6" fillId="29" borderId="4" xfId="0" applyFont="1" applyFill="1" applyBorder="1" applyAlignment="1">
      <alignment horizontal="left"/>
    </xf>
    <xf numFmtId="0" fontId="6" fillId="26" borderId="4" xfId="0" applyFont="1" applyFill="1" applyBorder="1" applyAlignment="1">
      <alignment horizontal="center"/>
    </xf>
    <xf numFmtId="0" fontId="7" fillId="26" borderId="4" xfId="0" applyFont="1" applyFill="1" applyBorder="1" applyAlignment="1">
      <alignment horizontal="left"/>
    </xf>
    <xf numFmtId="0" fontId="6" fillId="26" borderId="5" xfId="0" applyFont="1" applyFill="1" applyBorder="1" applyAlignment="1">
      <alignment horizontal="center"/>
    </xf>
    <xf numFmtId="0" fontId="6" fillId="26" borderId="4" xfId="0" applyFont="1" applyFill="1" applyBorder="1" applyAlignment="1">
      <alignment horizontal="left"/>
    </xf>
    <xf numFmtId="0" fontId="6" fillId="32" borderId="4" xfId="0" applyFont="1" applyFill="1" applyBorder="1" applyAlignment="1">
      <alignment horizontal="left"/>
    </xf>
    <xf numFmtId="0" fontId="6" fillId="33" borderId="4" xfId="0" applyFont="1" applyFill="1" applyBorder="1" applyAlignment="1">
      <alignment horizontal="left"/>
    </xf>
    <xf numFmtId="0" fontId="6" fillId="34" borderId="4" xfId="0" applyFont="1" applyFill="1" applyBorder="1" applyAlignment="1">
      <alignment horizontal="left"/>
    </xf>
    <xf numFmtId="0" fontId="6" fillId="26" borderId="0" xfId="0" applyFont="1" applyFill="1" applyAlignment="1">
      <alignment horizontal="center"/>
    </xf>
    <xf numFmtId="0" fontId="6" fillId="35" borderId="7" xfId="0" applyFont="1" applyFill="1" applyBorder="1" applyAlignment="1">
      <alignment horizontal="center"/>
    </xf>
    <xf numFmtId="0" fontId="0" fillId="36" borderId="0" xfId="0" applyFill="1"/>
    <xf numFmtId="0" fontId="6" fillId="23" borderId="4" xfId="0" applyFont="1" applyFill="1" applyBorder="1" applyAlignment="1">
      <alignment horizontal="center"/>
    </xf>
    <xf numFmtId="0" fontId="6" fillId="23" borderId="5" xfId="0" applyFont="1" applyFill="1" applyBorder="1" applyAlignment="1">
      <alignment horizontal="center"/>
    </xf>
    <xf numFmtId="0" fontId="6" fillId="37" borderId="4" xfId="0" applyFont="1" applyFill="1" applyBorder="1" applyAlignment="1">
      <alignment horizontal="center"/>
    </xf>
    <xf numFmtId="0" fontId="6" fillId="37" borderId="5" xfId="0" applyFont="1" applyFill="1" applyBorder="1" applyAlignment="1">
      <alignment horizontal="center"/>
    </xf>
    <xf numFmtId="0" fontId="6" fillId="37" borderId="7" xfId="0" applyFont="1" applyFill="1" applyBorder="1" applyAlignment="1">
      <alignment horizontal="center"/>
    </xf>
    <xf numFmtId="0" fontId="6" fillId="38" borderId="7" xfId="0" applyFont="1" applyFill="1" applyBorder="1" applyAlignment="1">
      <alignment horizontal="center"/>
    </xf>
    <xf numFmtId="0" fontId="0" fillId="39" borderId="0" xfId="0" applyFill="1"/>
    <xf numFmtId="0" fontId="6" fillId="40" borderId="4" xfId="0" applyFont="1" applyFill="1" applyBorder="1" applyAlignment="1">
      <alignment horizontal="center"/>
    </xf>
    <xf numFmtId="0" fontId="6" fillId="40" borderId="5" xfId="0" applyFont="1" applyFill="1" applyBorder="1" applyAlignment="1">
      <alignment horizontal="center"/>
    </xf>
    <xf numFmtId="0" fontId="6" fillId="40" borderId="7" xfId="0" applyFont="1" applyFill="1" applyBorder="1" applyAlignment="1">
      <alignment horizontal="center"/>
    </xf>
    <xf numFmtId="0" fontId="6" fillId="41" borderId="7" xfId="0" applyFont="1" applyFill="1" applyBorder="1" applyAlignment="1">
      <alignment horizontal="center"/>
    </xf>
    <xf numFmtId="0" fontId="0" fillId="42" borderId="0" xfId="0" applyFill="1"/>
    <xf numFmtId="0" fontId="6" fillId="43" borderId="4" xfId="0" applyFont="1" applyFill="1" applyBorder="1" applyAlignment="1">
      <alignment horizontal="center"/>
    </xf>
    <xf numFmtId="0" fontId="6" fillId="44" borderId="4" xfId="0" applyFont="1" applyFill="1" applyBorder="1" applyAlignment="1">
      <alignment horizontal="center"/>
    </xf>
    <xf numFmtId="0" fontId="6" fillId="44" borderId="5" xfId="0" applyFont="1" applyFill="1" applyBorder="1" applyAlignment="1">
      <alignment horizontal="center"/>
    </xf>
    <xf numFmtId="0" fontId="6" fillId="44" borderId="7" xfId="0" applyFont="1" applyFill="1" applyBorder="1" applyAlignment="1">
      <alignment horizontal="center"/>
    </xf>
    <xf numFmtId="0" fontId="6" fillId="45" borderId="7" xfId="0" applyFont="1" applyFill="1" applyBorder="1" applyAlignment="1">
      <alignment horizontal="center"/>
    </xf>
    <xf numFmtId="0" fontId="0" fillId="46" borderId="0" xfId="0" applyFill="1"/>
    <xf numFmtId="0" fontId="6" fillId="47" borderId="4" xfId="0" applyFont="1" applyFill="1" applyBorder="1" applyAlignment="1">
      <alignment horizontal="center"/>
    </xf>
    <xf numFmtId="0" fontId="6" fillId="48" borderId="4" xfId="0" applyFont="1" applyFill="1" applyBorder="1" applyAlignment="1">
      <alignment horizontal="center"/>
    </xf>
    <xf numFmtId="0" fontId="6" fillId="48" borderId="5" xfId="0" applyFont="1" applyFill="1" applyBorder="1" applyAlignment="1">
      <alignment horizontal="center"/>
    </xf>
    <xf numFmtId="0" fontId="6" fillId="48" borderId="7" xfId="0" applyFont="1" applyFill="1" applyBorder="1" applyAlignment="1">
      <alignment horizontal="center"/>
    </xf>
    <xf numFmtId="0" fontId="6" fillId="49" borderId="4" xfId="0" applyFont="1" applyFill="1" applyBorder="1" applyAlignment="1">
      <alignment horizontal="center"/>
    </xf>
    <xf numFmtId="0" fontId="6" fillId="49" borderId="5" xfId="0" applyFont="1" applyFill="1" applyBorder="1" applyAlignment="1">
      <alignment horizontal="center"/>
    </xf>
    <xf numFmtId="0" fontId="6" fillId="49" borderId="7" xfId="0" applyFont="1" applyFill="1" applyBorder="1" applyAlignment="1">
      <alignment horizontal="center"/>
    </xf>
    <xf numFmtId="0" fontId="6" fillId="16" borderId="0" xfId="0" applyFont="1" applyFill="1" applyAlignment="1">
      <alignment horizontal="center"/>
    </xf>
    <xf numFmtId="0" fontId="4" fillId="27" borderId="7" xfId="0" applyFont="1" applyFill="1" applyBorder="1" applyAlignment="1">
      <alignment horizontal="center"/>
    </xf>
    <xf numFmtId="0" fontId="6" fillId="48" borderId="1" xfId="0" applyFont="1" applyFill="1" applyBorder="1" applyAlignment="1">
      <alignment horizontal="center"/>
    </xf>
    <xf numFmtId="0" fontId="6" fillId="48" borderId="3" xfId="0" applyFont="1" applyFill="1" applyBorder="1" applyAlignment="1">
      <alignment horizontal="center"/>
    </xf>
    <xf numFmtId="0" fontId="6" fillId="48" borderId="8" xfId="0" applyFont="1" applyFill="1" applyBorder="1" applyAlignment="1">
      <alignment horizontal="center"/>
    </xf>
    <xf numFmtId="0" fontId="6" fillId="38" borderId="8" xfId="0" applyFont="1" applyFill="1" applyBorder="1" applyAlignment="1">
      <alignment horizontal="center"/>
    </xf>
    <xf numFmtId="0" fontId="6" fillId="50" borderId="7" xfId="0" applyFont="1" applyFill="1" applyBorder="1" applyAlignment="1">
      <alignment horizontal="center"/>
    </xf>
    <xf numFmtId="0" fontId="0" fillId="51" borderId="7" xfId="0" applyFill="1" applyBorder="1"/>
    <xf numFmtId="0" fontId="6" fillId="52" borderId="7" xfId="0" applyFont="1" applyFill="1" applyBorder="1" applyAlignment="1">
      <alignment horizontal="center"/>
    </xf>
    <xf numFmtId="0" fontId="0" fillId="36" borderId="7" xfId="0" applyFill="1" applyBorder="1"/>
    <xf numFmtId="0" fontId="0" fillId="42" borderId="7" xfId="0" applyFill="1" applyBorder="1"/>
    <xf numFmtId="0" fontId="0" fillId="53" borderId="7" xfId="0" applyFill="1" applyBorder="1"/>
    <xf numFmtId="0" fontId="0" fillId="54" borderId="7" xfId="0" applyFill="1" applyBorder="1"/>
    <xf numFmtId="0" fontId="3" fillId="42" borderId="7" xfId="0" applyFont="1" applyFill="1" applyBorder="1"/>
    <xf numFmtId="0" fontId="3" fillId="42" borderId="7" xfId="0" applyFont="1" applyFill="1" applyBorder="1" applyAlignment="1">
      <alignment horizontal="center"/>
    </xf>
    <xf numFmtId="0" fontId="6" fillId="55" borderId="4" xfId="0" applyFont="1" applyFill="1" applyBorder="1" applyAlignment="1">
      <alignment horizontal="center"/>
    </xf>
    <xf numFmtId="0" fontId="6" fillId="55" borderId="5" xfId="0" applyFont="1" applyFill="1" applyBorder="1" applyAlignment="1">
      <alignment horizontal="center"/>
    </xf>
    <xf numFmtId="0" fontId="6" fillId="55" borderId="7" xfId="0" applyFont="1" applyFill="1" applyBorder="1" applyAlignment="1">
      <alignment horizontal="center"/>
    </xf>
    <xf numFmtId="0" fontId="6" fillId="56" borderId="7" xfId="0" applyFont="1" applyFill="1" applyBorder="1" applyAlignment="1">
      <alignment horizontal="center"/>
    </xf>
    <xf numFmtId="0" fontId="0" fillId="53" borderId="0" xfId="0" applyFill="1"/>
    <xf numFmtId="0" fontId="6" fillId="57" borderId="4" xfId="0" applyFont="1" applyFill="1" applyBorder="1" applyAlignment="1">
      <alignment horizontal="center"/>
    </xf>
    <xf numFmtId="0" fontId="6" fillId="57" borderId="5" xfId="0" applyFont="1" applyFill="1" applyBorder="1" applyAlignment="1">
      <alignment horizontal="center"/>
    </xf>
    <xf numFmtId="0" fontId="6" fillId="57" borderId="7" xfId="0" applyFont="1" applyFill="1" applyBorder="1" applyAlignment="1">
      <alignment horizontal="center"/>
    </xf>
    <xf numFmtId="0" fontId="6" fillId="58" borderId="7" xfId="0" applyFont="1" applyFill="1" applyBorder="1" applyAlignment="1">
      <alignment horizontal="center"/>
    </xf>
    <xf numFmtId="0" fontId="0" fillId="54" borderId="0" xfId="0" applyFill="1"/>
    <xf numFmtId="0" fontId="6" fillId="56" borderId="4" xfId="0" applyFont="1" applyFill="1" applyBorder="1" applyAlignment="1">
      <alignment horizontal="center"/>
    </xf>
    <xf numFmtId="0" fontId="6" fillId="56" borderId="5" xfId="0" applyFont="1" applyFill="1" applyBorder="1" applyAlignment="1">
      <alignment horizontal="center"/>
    </xf>
    <xf numFmtId="0" fontId="6" fillId="59" borderId="4" xfId="0" applyFont="1" applyFill="1" applyBorder="1" applyAlignment="1">
      <alignment horizontal="center"/>
    </xf>
    <xf numFmtId="0" fontId="6" fillId="60" borderId="4" xfId="0" applyFont="1" applyFill="1" applyBorder="1" applyAlignment="1">
      <alignment horizontal="center"/>
    </xf>
    <xf numFmtId="0" fontId="6" fillId="60" borderId="5" xfId="0" applyFont="1" applyFill="1" applyBorder="1" applyAlignment="1">
      <alignment horizontal="center"/>
    </xf>
    <xf numFmtId="0" fontId="6" fillId="60" borderId="7" xfId="0" applyFont="1" applyFill="1" applyBorder="1" applyAlignment="1">
      <alignment horizontal="center"/>
    </xf>
    <xf numFmtId="0" fontId="0" fillId="51" borderId="0" xfId="0" applyFill="1"/>
    <xf numFmtId="0" fontId="6" fillId="59" borderId="5" xfId="0" applyFont="1" applyFill="1" applyBorder="1" applyAlignment="1">
      <alignment horizontal="center"/>
    </xf>
    <xf numFmtId="0" fontId="6" fillId="59" borderId="7" xfId="0" applyFont="1" applyFill="1" applyBorder="1" applyAlignment="1">
      <alignment horizontal="center"/>
    </xf>
    <xf numFmtId="0" fontId="3" fillId="53" borderId="7" xfId="0" applyFont="1" applyFill="1" applyBorder="1"/>
    <xf numFmtId="0" fontId="3" fillId="51" borderId="7" xfId="0" applyFont="1" applyFill="1" applyBorder="1"/>
    <xf numFmtId="0" fontId="6" fillId="61" borderId="4" xfId="0" applyFont="1" applyFill="1" applyBorder="1" applyAlignment="1">
      <alignment horizontal="center"/>
    </xf>
    <xf numFmtId="0" fontId="6" fillId="61" borderId="5" xfId="0" applyFont="1" applyFill="1" applyBorder="1" applyAlignment="1">
      <alignment horizontal="center"/>
    </xf>
    <xf numFmtId="0" fontId="6" fillId="61" borderId="7" xfId="0" applyFont="1" applyFill="1" applyBorder="1" applyAlignment="1">
      <alignment horizontal="center"/>
    </xf>
    <xf numFmtId="0" fontId="9" fillId="63" borderId="4" xfId="0" applyFont="1" applyFill="1" applyBorder="1" applyAlignment="1">
      <alignment horizontal="left"/>
    </xf>
    <xf numFmtId="0" fontId="9" fillId="64" borderId="4" xfId="0" applyFont="1" applyFill="1" applyBorder="1" applyAlignment="1">
      <alignment horizontal="left"/>
    </xf>
    <xf numFmtId="0" fontId="10" fillId="65" borderId="4" xfId="0" applyFont="1" applyFill="1" applyBorder="1" applyAlignment="1">
      <alignment horizontal="left"/>
    </xf>
    <xf numFmtId="0" fontId="10" fillId="63" borderId="4" xfId="0" applyFont="1" applyFill="1" applyBorder="1" applyAlignment="1">
      <alignment horizontal="left"/>
    </xf>
    <xf numFmtId="0" fontId="9" fillId="66" borderId="4" xfId="0" applyFont="1" applyFill="1" applyBorder="1" applyAlignment="1">
      <alignment horizontal="left"/>
    </xf>
    <xf numFmtId="0" fontId="9" fillId="67" borderId="4" xfId="0" applyFont="1" applyFill="1" applyBorder="1" applyAlignment="1">
      <alignment horizontal="left"/>
    </xf>
    <xf numFmtId="0" fontId="8" fillId="62" borderId="9" xfId="0" applyFont="1" applyFill="1" applyBorder="1" applyAlignment="1">
      <alignment horizontal="center"/>
    </xf>
    <xf numFmtId="0" fontId="2" fillId="15" borderId="7" xfId="0" applyFont="1" applyFill="1" applyBorder="1"/>
    <xf numFmtId="0" fontId="9" fillId="68" borderId="4" xfId="0" applyFont="1" applyFill="1" applyBorder="1" applyAlignment="1">
      <alignment horizontal="left"/>
    </xf>
    <xf numFmtId="0" fontId="9" fillId="69" borderId="4" xfId="0" applyFont="1" applyFill="1" applyBorder="1" applyAlignment="1">
      <alignment horizontal="left"/>
    </xf>
    <xf numFmtId="0" fontId="9" fillId="70" borderId="4" xfId="0" applyFont="1" applyFill="1" applyBorder="1" applyAlignment="1">
      <alignment horizontal="left"/>
    </xf>
    <xf numFmtId="0" fontId="9" fillId="71" borderId="4" xfId="0" applyFont="1" applyFill="1" applyBorder="1" applyAlignment="1">
      <alignment horizontal="left"/>
    </xf>
    <xf numFmtId="0" fontId="9" fillId="72" borderId="4" xfId="0" applyFont="1" applyFill="1" applyBorder="1" applyAlignment="1">
      <alignment horizontal="left"/>
    </xf>
    <xf numFmtId="0" fontId="8" fillId="62" borderId="7" xfId="0" applyFont="1" applyFill="1" applyBorder="1" applyAlignment="1">
      <alignment horizontal="left"/>
    </xf>
    <xf numFmtId="0" fontId="11" fillId="62" borderId="9" xfId="0" applyFont="1" applyFill="1" applyBorder="1" applyAlignment="1">
      <alignment horizontal="center"/>
    </xf>
    <xf numFmtId="0" fontId="6" fillId="16" borderId="11" xfId="0" applyFont="1" applyFill="1" applyBorder="1" applyAlignment="1">
      <alignment horizontal="center"/>
    </xf>
    <xf numFmtId="0" fontId="1" fillId="27" borderId="7" xfId="0" applyFont="1" applyFill="1" applyBorder="1" applyAlignment="1">
      <alignment horizontal="center"/>
    </xf>
    <xf numFmtId="0" fontId="9" fillId="67" borderId="1" xfId="0" applyFont="1" applyFill="1" applyBorder="1" applyAlignment="1">
      <alignment horizontal="left"/>
    </xf>
    <xf numFmtId="0" fontId="8" fillId="62" borderId="10" xfId="0" applyFont="1" applyFill="1" applyBorder="1" applyAlignment="1">
      <alignment horizontal="center"/>
    </xf>
    <xf numFmtId="0" fontId="9" fillId="63" borderId="7" xfId="0" applyFont="1" applyFill="1" applyBorder="1" applyAlignment="1">
      <alignment horizontal="center"/>
    </xf>
    <xf numFmtId="0" fontId="8" fillId="62" borderId="7" xfId="0" applyFont="1" applyFill="1" applyBorder="1" applyAlignment="1">
      <alignment horizontal="center"/>
    </xf>
    <xf numFmtId="0" fontId="9" fillId="63" borderId="7" xfId="0" applyFont="1" applyFill="1" applyBorder="1" applyAlignment="1">
      <alignment horizontal="center" vertical="center"/>
    </xf>
    <xf numFmtId="0" fontId="8" fillId="62" borderId="7" xfId="0" applyFont="1" applyFill="1" applyBorder="1" applyAlignment="1">
      <alignment horizontal="center" vertical="center"/>
    </xf>
    <xf numFmtId="0" fontId="9" fillId="6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42"/>
  <sheetViews>
    <sheetView tabSelected="1" zoomScale="97" zoomScaleNormal="100" workbookViewId="0">
      <selection activeCell="D145" sqref="D145"/>
    </sheetView>
  </sheetViews>
  <sheetFormatPr defaultRowHeight="14.4"/>
  <cols>
    <col min="2" max="2" width="18.33203125" customWidth="1"/>
    <col min="6" max="6" width="53.44140625" style="68" customWidth="1"/>
    <col min="7" max="7" width="21.5546875" bestFit="1" customWidth="1"/>
    <col min="8" max="8" width="23.88671875" bestFit="1" customWidth="1"/>
    <col min="9" max="9" width="22.88671875" bestFit="1" customWidth="1"/>
    <col min="10" max="10" width="11.109375" customWidth="1"/>
    <col min="11" max="11" width="13.44140625" bestFit="1" customWidth="1"/>
    <col min="12" max="12" width="26.33203125" customWidth="1"/>
    <col min="13" max="13" width="34.88671875" style="65" customWidth="1"/>
    <col min="14" max="14" width="30.33203125" style="138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66" t="s">
        <v>5</v>
      </c>
      <c r="G1" s="3" t="s">
        <v>6</v>
      </c>
      <c r="H1" s="3" t="s">
        <v>7</v>
      </c>
      <c r="I1" s="4" t="s">
        <v>8</v>
      </c>
      <c r="J1" s="26" t="s">
        <v>110</v>
      </c>
      <c r="K1" s="26" t="s">
        <v>111</v>
      </c>
      <c r="L1" s="26" t="s">
        <v>105</v>
      </c>
      <c r="M1" s="64" t="s">
        <v>104</v>
      </c>
      <c r="N1" s="142"/>
    </row>
    <row r="2" spans="1:14">
      <c r="A2" s="5">
        <v>1</v>
      </c>
      <c r="B2" s="5" t="s">
        <v>32</v>
      </c>
      <c r="C2" s="5" t="s">
        <v>33</v>
      </c>
      <c r="D2" s="5" t="s">
        <v>34</v>
      </c>
      <c r="E2" s="5">
        <v>2</v>
      </c>
      <c r="F2" s="167" t="s">
        <v>35</v>
      </c>
      <c r="G2" s="5">
        <v>3</v>
      </c>
      <c r="H2" s="6">
        <v>2</v>
      </c>
      <c r="I2" s="27">
        <v>0</v>
      </c>
      <c r="J2" s="27">
        <f>G2</f>
        <v>3</v>
      </c>
      <c r="K2" s="27">
        <f>E2*H2</f>
        <v>4</v>
      </c>
      <c r="L2" s="186">
        <f>J2+K2</f>
        <v>7</v>
      </c>
      <c r="M2" s="173" t="s">
        <v>17</v>
      </c>
    </row>
    <row r="3" spans="1:14">
      <c r="A3" s="5">
        <v>2</v>
      </c>
      <c r="B3" s="5" t="s">
        <v>32</v>
      </c>
      <c r="C3" s="5" t="s">
        <v>33</v>
      </c>
      <c r="D3" s="5" t="s">
        <v>34</v>
      </c>
      <c r="E3" s="5">
        <v>2</v>
      </c>
      <c r="F3" s="167" t="s">
        <v>36</v>
      </c>
      <c r="G3" s="5">
        <v>2</v>
      </c>
      <c r="H3" s="6">
        <v>2</v>
      </c>
      <c r="I3" s="27">
        <v>0</v>
      </c>
      <c r="J3" s="27">
        <f t="shared" ref="J3:J66" si="0">G3</f>
        <v>2</v>
      </c>
      <c r="K3" s="27">
        <f t="shared" ref="K3:K66" si="1">E3*H3</f>
        <v>4</v>
      </c>
      <c r="L3" s="186">
        <f t="shared" ref="L3:L66" si="2">J3+K3</f>
        <v>6</v>
      </c>
      <c r="M3" s="173" t="s">
        <v>10</v>
      </c>
      <c r="N3" s="141"/>
    </row>
    <row r="4" spans="1:14">
      <c r="A4" s="5">
        <v>3</v>
      </c>
      <c r="B4" s="5" t="s">
        <v>32</v>
      </c>
      <c r="C4" s="5" t="s">
        <v>33</v>
      </c>
      <c r="D4" s="5" t="s">
        <v>34</v>
      </c>
      <c r="E4" s="5">
        <v>2</v>
      </c>
      <c r="F4" s="167" t="s">
        <v>37</v>
      </c>
      <c r="G4" s="5">
        <v>2</v>
      </c>
      <c r="H4" s="6">
        <v>0</v>
      </c>
      <c r="I4" s="27">
        <v>0</v>
      </c>
      <c r="J4" s="27">
        <f t="shared" si="0"/>
        <v>2</v>
      </c>
      <c r="K4" s="27">
        <f t="shared" si="1"/>
        <v>0</v>
      </c>
      <c r="L4" s="186">
        <f t="shared" si="2"/>
        <v>2</v>
      </c>
      <c r="M4" s="173" t="s">
        <v>24</v>
      </c>
    </row>
    <row r="5" spans="1:14">
      <c r="A5" s="5">
        <v>4</v>
      </c>
      <c r="B5" s="5" t="s">
        <v>32</v>
      </c>
      <c r="C5" s="5" t="s">
        <v>33</v>
      </c>
      <c r="D5" s="5" t="s">
        <v>34</v>
      </c>
      <c r="E5" s="5">
        <v>2</v>
      </c>
      <c r="F5" s="167" t="s">
        <v>38</v>
      </c>
      <c r="G5" s="5">
        <v>0</v>
      </c>
      <c r="H5" s="6">
        <v>2</v>
      </c>
      <c r="I5" s="27">
        <v>0</v>
      </c>
      <c r="J5" s="27">
        <f t="shared" si="0"/>
        <v>0</v>
      </c>
      <c r="K5" s="27">
        <f t="shared" si="1"/>
        <v>4</v>
      </c>
      <c r="L5" s="186">
        <f t="shared" si="2"/>
        <v>4</v>
      </c>
      <c r="M5" s="173" t="s">
        <v>24</v>
      </c>
    </row>
    <row r="6" spans="1:14">
      <c r="A6" s="5">
        <v>5</v>
      </c>
      <c r="B6" s="5" t="s">
        <v>32</v>
      </c>
      <c r="C6" s="5" t="s">
        <v>33</v>
      </c>
      <c r="D6" s="5" t="s">
        <v>34</v>
      </c>
      <c r="E6" s="5">
        <v>2</v>
      </c>
      <c r="F6" s="167" t="s">
        <v>39</v>
      </c>
      <c r="G6" s="5">
        <v>2</v>
      </c>
      <c r="H6" s="6">
        <v>2</v>
      </c>
      <c r="I6" s="27">
        <v>0</v>
      </c>
      <c r="J6" s="27">
        <f t="shared" si="0"/>
        <v>2</v>
      </c>
      <c r="K6" s="27">
        <f t="shared" si="1"/>
        <v>4</v>
      </c>
      <c r="L6" s="186">
        <f t="shared" si="2"/>
        <v>6</v>
      </c>
      <c r="M6" s="173" t="s">
        <v>31</v>
      </c>
    </row>
    <row r="7" spans="1:14">
      <c r="A7" s="5">
        <v>6</v>
      </c>
      <c r="B7" s="5" t="s">
        <v>32</v>
      </c>
      <c r="C7" s="5" t="s">
        <v>33</v>
      </c>
      <c r="D7" s="5" t="s">
        <v>34</v>
      </c>
      <c r="E7" s="5">
        <v>2</v>
      </c>
      <c r="F7" s="167" t="s">
        <v>40</v>
      </c>
      <c r="G7" s="5">
        <v>1</v>
      </c>
      <c r="H7" s="6">
        <v>2</v>
      </c>
      <c r="I7" s="27">
        <v>0</v>
      </c>
      <c r="J7" s="27">
        <f t="shared" si="0"/>
        <v>1</v>
      </c>
      <c r="K7" s="27">
        <f t="shared" si="1"/>
        <v>4</v>
      </c>
      <c r="L7" s="186">
        <f t="shared" si="2"/>
        <v>5</v>
      </c>
      <c r="M7" s="173" t="s">
        <v>23</v>
      </c>
    </row>
    <row r="8" spans="1:14">
      <c r="A8" s="5">
        <v>7</v>
      </c>
      <c r="B8" s="5" t="s">
        <v>32</v>
      </c>
      <c r="C8" s="5" t="s">
        <v>33</v>
      </c>
      <c r="D8" s="5" t="s">
        <v>34</v>
      </c>
      <c r="E8" s="5">
        <v>2</v>
      </c>
      <c r="F8" s="167" t="s">
        <v>41</v>
      </c>
      <c r="G8" s="5">
        <v>0</v>
      </c>
      <c r="H8" s="6">
        <v>2</v>
      </c>
      <c r="I8" s="27">
        <v>0</v>
      </c>
      <c r="J8" s="27">
        <f t="shared" si="0"/>
        <v>0</v>
      </c>
      <c r="K8" s="27">
        <f t="shared" si="1"/>
        <v>4</v>
      </c>
      <c r="L8" s="186">
        <f t="shared" si="2"/>
        <v>4</v>
      </c>
      <c r="M8" s="173" t="s">
        <v>25</v>
      </c>
    </row>
    <row r="9" spans="1:14" s="70" customFormat="1">
      <c r="A9" s="103">
        <v>8</v>
      </c>
      <c r="B9" s="103" t="s">
        <v>32</v>
      </c>
      <c r="C9" s="103" t="s">
        <v>33</v>
      </c>
      <c r="D9" s="103" t="s">
        <v>34</v>
      </c>
      <c r="E9" s="103">
        <v>2</v>
      </c>
      <c r="F9" s="167" t="s">
        <v>42</v>
      </c>
      <c r="G9" s="103">
        <v>0</v>
      </c>
      <c r="H9" s="104">
        <v>2</v>
      </c>
      <c r="I9" s="69">
        <v>2</v>
      </c>
      <c r="J9" s="69">
        <f t="shared" si="0"/>
        <v>0</v>
      </c>
      <c r="K9" s="69">
        <v>8</v>
      </c>
      <c r="L9" s="186">
        <v>8</v>
      </c>
      <c r="M9" s="173" t="s">
        <v>125</v>
      </c>
      <c r="N9" s="138"/>
    </row>
    <row r="10" spans="1:14" s="70" customFormat="1">
      <c r="A10" s="103">
        <v>9</v>
      </c>
      <c r="B10" s="103" t="s">
        <v>32</v>
      </c>
      <c r="C10" s="103" t="s">
        <v>33</v>
      </c>
      <c r="D10" s="103" t="s">
        <v>34</v>
      </c>
      <c r="E10" s="103">
        <v>2</v>
      </c>
      <c r="F10" s="167" t="s">
        <v>43</v>
      </c>
      <c r="G10" s="103">
        <v>1</v>
      </c>
      <c r="H10" s="104">
        <v>0</v>
      </c>
      <c r="I10" s="69">
        <v>0</v>
      </c>
      <c r="J10" s="69">
        <f t="shared" si="0"/>
        <v>1</v>
      </c>
      <c r="K10" s="69">
        <f t="shared" si="1"/>
        <v>0</v>
      </c>
      <c r="L10" s="186">
        <f t="shared" si="2"/>
        <v>1</v>
      </c>
      <c r="M10" s="173" t="s">
        <v>154</v>
      </c>
      <c r="N10" s="141"/>
    </row>
    <row r="11" spans="1:14">
      <c r="A11" s="7">
        <v>10</v>
      </c>
      <c r="B11" s="7" t="s">
        <v>32</v>
      </c>
      <c r="C11" s="7" t="s">
        <v>33</v>
      </c>
      <c r="D11" s="7" t="s">
        <v>44</v>
      </c>
      <c r="E11" s="7">
        <v>2</v>
      </c>
      <c r="F11" s="168" t="s">
        <v>35</v>
      </c>
      <c r="G11" s="7">
        <v>3</v>
      </c>
      <c r="H11" s="8">
        <v>2</v>
      </c>
      <c r="I11" s="29">
        <v>0</v>
      </c>
      <c r="J11" s="27">
        <f t="shared" si="0"/>
        <v>3</v>
      </c>
      <c r="K11" s="27">
        <f t="shared" si="1"/>
        <v>4</v>
      </c>
      <c r="L11" s="186">
        <f t="shared" si="2"/>
        <v>7</v>
      </c>
      <c r="M11" s="173" t="s">
        <v>17</v>
      </c>
    </row>
    <row r="12" spans="1:14">
      <c r="A12" s="7">
        <v>11</v>
      </c>
      <c r="B12" s="7" t="s">
        <v>32</v>
      </c>
      <c r="C12" s="7" t="s">
        <v>33</v>
      </c>
      <c r="D12" s="7" t="s">
        <v>44</v>
      </c>
      <c r="E12" s="7">
        <v>2</v>
      </c>
      <c r="F12" s="168" t="s">
        <v>36</v>
      </c>
      <c r="G12" s="7">
        <v>2</v>
      </c>
      <c r="H12" s="8">
        <v>2</v>
      </c>
      <c r="I12" s="29">
        <v>0</v>
      </c>
      <c r="J12" s="27">
        <f t="shared" si="0"/>
        <v>2</v>
      </c>
      <c r="K12" s="27">
        <f t="shared" si="1"/>
        <v>4</v>
      </c>
      <c r="L12" s="186">
        <f t="shared" si="2"/>
        <v>6</v>
      </c>
      <c r="M12" s="173" t="s">
        <v>108</v>
      </c>
    </row>
    <row r="13" spans="1:14">
      <c r="A13" s="7">
        <v>12</v>
      </c>
      <c r="B13" s="7" t="s">
        <v>32</v>
      </c>
      <c r="C13" s="7" t="s">
        <v>33</v>
      </c>
      <c r="D13" s="7" t="s">
        <v>44</v>
      </c>
      <c r="E13" s="7">
        <v>2</v>
      </c>
      <c r="F13" s="168" t="s">
        <v>37</v>
      </c>
      <c r="G13" s="7">
        <v>2</v>
      </c>
      <c r="H13" s="8">
        <v>0</v>
      </c>
      <c r="I13" s="29">
        <v>0</v>
      </c>
      <c r="J13" s="27">
        <f t="shared" si="0"/>
        <v>2</v>
      </c>
      <c r="K13" s="27">
        <f t="shared" si="1"/>
        <v>0</v>
      </c>
      <c r="L13" s="186">
        <f t="shared" si="2"/>
        <v>2</v>
      </c>
      <c r="M13" s="173" t="s">
        <v>24</v>
      </c>
    </row>
    <row r="14" spans="1:14">
      <c r="A14" s="7">
        <v>13</v>
      </c>
      <c r="B14" s="7" t="s">
        <v>32</v>
      </c>
      <c r="C14" s="7" t="s">
        <v>33</v>
      </c>
      <c r="D14" s="7" t="s">
        <v>44</v>
      </c>
      <c r="E14" s="7">
        <v>2</v>
      </c>
      <c r="F14" s="168" t="s">
        <v>38</v>
      </c>
      <c r="G14" s="7">
        <v>0</v>
      </c>
      <c r="H14" s="8">
        <v>2</v>
      </c>
      <c r="I14" s="29">
        <v>0</v>
      </c>
      <c r="J14" s="27">
        <f t="shared" si="0"/>
        <v>0</v>
      </c>
      <c r="K14" s="27">
        <f t="shared" si="1"/>
        <v>4</v>
      </c>
      <c r="L14" s="186">
        <f t="shared" si="2"/>
        <v>4</v>
      </c>
      <c r="M14" s="173" t="s">
        <v>24</v>
      </c>
    </row>
    <row r="15" spans="1:14">
      <c r="A15" s="7">
        <v>14</v>
      </c>
      <c r="B15" s="7" t="s">
        <v>32</v>
      </c>
      <c r="C15" s="7" t="s">
        <v>33</v>
      </c>
      <c r="D15" s="7" t="s">
        <v>44</v>
      </c>
      <c r="E15" s="7">
        <v>2</v>
      </c>
      <c r="F15" s="168" t="s">
        <v>39</v>
      </c>
      <c r="G15" s="7">
        <v>2</v>
      </c>
      <c r="H15" s="8">
        <v>2</v>
      </c>
      <c r="I15" s="29">
        <v>0</v>
      </c>
      <c r="J15" s="27">
        <f t="shared" si="0"/>
        <v>2</v>
      </c>
      <c r="K15" s="27">
        <f t="shared" si="1"/>
        <v>4</v>
      </c>
      <c r="L15" s="186">
        <f t="shared" si="2"/>
        <v>6</v>
      </c>
      <c r="M15" s="173" t="s">
        <v>31</v>
      </c>
    </row>
    <row r="16" spans="1:14">
      <c r="A16" s="7">
        <v>15</v>
      </c>
      <c r="B16" s="7" t="s">
        <v>32</v>
      </c>
      <c r="C16" s="7" t="s">
        <v>33</v>
      </c>
      <c r="D16" s="7" t="s">
        <v>44</v>
      </c>
      <c r="E16" s="7">
        <v>2</v>
      </c>
      <c r="F16" s="168" t="s">
        <v>40</v>
      </c>
      <c r="G16" s="7">
        <v>1</v>
      </c>
      <c r="H16" s="8">
        <v>2</v>
      </c>
      <c r="I16" s="29">
        <v>0</v>
      </c>
      <c r="J16" s="27">
        <f t="shared" si="0"/>
        <v>1</v>
      </c>
      <c r="K16" s="27">
        <f t="shared" si="1"/>
        <v>4</v>
      </c>
      <c r="L16" s="186">
        <f t="shared" si="2"/>
        <v>5</v>
      </c>
      <c r="M16" s="173" t="s">
        <v>23</v>
      </c>
    </row>
    <row r="17" spans="1:14">
      <c r="A17" s="7">
        <v>16</v>
      </c>
      <c r="B17" s="7" t="s">
        <v>32</v>
      </c>
      <c r="C17" s="7" t="s">
        <v>33</v>
      </c>
      <c r="D17" s="7" t="s">
        <v>44</v>
      </c>
      <c r="E17" s="7">
        <v>2</v>
      </c>
      <c r="F17" s="168" t="s">
        <v>41</v>
      </c>
      <c r="G17" s="7">
        <v>0</v>
      </c>
      <c r="H17" s="8">
        <v>2</v>
      </c>
      <c r="I17" s="29">
        <v>0</v>
      </c>
      <c r="J17" s="27">
        <f t="shared" si="0"/>
        <v>0</v>
      </c>
      <c r="K17" s="27">
        <f t="shared" si="1"/>
        <v>4</v>
      </c>
      <c r="L17" s="186">
        <f t="shared" si="2"/>
        <v>4</v>
      </c>
      <c r="M17" s="173" t="s">
        <v>25</v>
      </c>
    </row>
    <row r="18" spans="1:14" s="79" customFormat="1">
      <c r="A18" s="105">
        <v>17</v>
      </c>
      <c r="B18" s="105" t="s">
        <v>32</v>
      </c>
      <c r="C18" s="105" t="s">
        <v>33</v>
      </c>
      <c r="D18" s="105" t="s">
        <v>44</v>
      </c>
      <c r="E18" s="105">
        <v>2</v>
      </c>
      <c r="F18" s="168" t="s">
        <v>42</v>
      </c>
      <c r="G18" s="105">
        <v>0</v>
      </c>
      <c r="H18" s="106">
        <v>2</v>
      </c>
      <c r="I18" s="107">
        <v>2</v>
      </c>
      <c r="J18" s="77">
        <f t="shared" si="0"/>
        <v>0</v>
      </c>
      <c r="K18" s="77">
        <v>8</v>
      </c>
      <c r="L18" s="186">
        <f t="shared" si="2"/>
        <v>8</v>
      </c>
      <c r="M18" s="173" t="s">
        <v>131</v>
      </c>
      <c r="N18" s="138"/>
    </row>
    <row r="19" spans="1:14" s="79" customFormat="1">
      <c r="A19" s="105">
        <v>18</v>
      </c>
      <c r="B19" s="105" t="s">
        <v>32</v>
      </c>
      <c r="C19" s="105" t="s">
        <v>33</v>
      </c>
      <c r="D19" s="105" t="s">
        <v>44</v>
      </c>
      <c r="E19" s="105">
        <v>2</v>
      </c>
      <c r="F19" s="168" t="s">
        <v>43</v>
      </c>
      <c r="G19" s="105">
        <v>1</v>
      </c>
      <c r="H19" s="106">
        <v>0</v>
      </c>
      <c r="I19" s="107">
        <v>0</v>
      </c>
      <c r="J19" s="77">
        <f t="shared" si="0"/>
        <v>1</v>
      </c>
      <c r="K19" s="77">
        <f t="shared" si="1"/>
        <v>0</v>
      </c>
      <c r="L19" s="186">
        <f t="shared" si="2"/>
        <v>1</v>
      </c>
      <c r="M19" s="173" t="s">
        <v>154</v>
      </c>
      <c r="N19" s="138"/>
    </row>
    <row r="20" spans="1:14" s="152" customFormat="1" hidden="1">
      <c r="A20" s="148">
        <v>19</v>
      </c>
      <c r="B20" s="148" t="s">
        <v>45</v>
      </c>
      <c r="C20" s="148" t="s">
        <v>33</v>
      </c>
      <c r="D20" s="148" t="s">
        <v>34</v>
      </c>
      <c r="E20" s="148">
        <v>2</v>
      </c>
      <c r="F20" s="169" t="s">
        <v>35</v>
      </c>
      <c r="G20" s="148">
        <v>3</v>
      </c>
      <c r="H20" s="149">
        <v>2</v>
      </c>
      <c r="I20" s="150">
        <v>0</v>
      </c>
      <c r="J20" s="151">
        <f t="shared" si="0"/>
        <v>3</v>
      </c>
      <c r="K20" s="151">
        <f t="shared" si="1"/>
        <v>4</v>
      </c>
      <c r="L20" s="186">
        <f t="shared" si="2"/>
        <v>7</v>
      </c>
      <c r="M20" s="173" t="s">
        <v>26</v>
      </c>
      <c r="N20" s="140"/>
    </row>
    <row r="21" spans="1:14" s="152" customFormat="1" hidden="1">
      <c r="A21" s="148">
        <v>20</v>
      </c>
      <c r="B21" s="148" t="s">
        <v>45</v>
      </c>
      <c r="C21" s="148" t="s">
        <v>33</v>
      </c>
      <c r="D21" s="148" t="s">
        <v>34</v>
      </c>
      <c r="E21" s="148">
        <v>2</v>
      </c>
      <c r="F21" s="169" t="s">
        <v>46</v>
      </c>
      <c r="G21" s="148">
        <v>1</v>
      </c>
      <c r="H21" s="149">
        <v>2</v>
      </c>
      <c r="I21" s="150">
        <v>0</v>
      </c>
      <c r="J21" s="151">
        <f t="shared" si="0"/>
        <v>1</v>
      </c>
      <c r="K21" s="151">
        <f t="shared" si="1"/>
        <v>4</v>
      </c>
      <c r="L21" s="186">
        <f t="shared" si="2"/>
        <v>5</v>
      </c>
      <c r="M21" s="173" t="s">
        <v>31</v>
      </c>
      <c r="N21" s="140"/>
    </row>
    <row r="22" spans="1:14" s="152" customFormat="1" hidden="1">
      <c r="A22" s="148">
        <v>21</v>
      </c>
      <c r="B22" s="148" t="s">
        <v>45</v>
      </c>
      <c r="C22" s="148" t="s">
        <v>33</v>
      </c>
      <c r="D22" s="148" t="s">
        <v>34</v>
      </c>
      <c r="E22" s="148">
        <v>2</v>
      </c>
      <c r="F22" s="169" t="s">
        <v>47</v>
      </c>
      <c r="G22" s="148">
        <v>2</v>
      </c>
      <c r="H22" s="149">
        <v>0</v>
      </c>
      <c r="I22" s="150">
        <v>1</v>
      </c>
      <c r="J22" s="151">
        <f t="shared" si="0"/>
        <v>2</v>
      </c>
      <c r="K22" s="151">
        <v>2</v>
      </c>
      <c r="L22" s="186">
        <f t="shared" si="2"/>
        <v>4</v>
      </c>
      <c r="M22" s="173" t="s">
        <v>146</v>
      </c>
      <c r="N22" s="140"/>
    </row>
    <row r="23" spans="1:14" s="152" customFormat="1" hidden="1">
      <c r="A23" s="148">
        <v>22</v>
      </c>
      <c r="B23" s="148" t="s">
        <v>45</v>
      </c>
      <c r="C23" s="148" t="s">
        <v>33</v>
      </c>
      <c r="D23" s="148" t="s">
        <v>34</v>
      </c>
      <c r="E23" s="148">
        <v>2</v>
      </c>
      <c r="F23" s="169" t="s">
        <v>48</v>
      </c>
      <c r="G23" s="148">
        <v>3</v>
      </c>
      <c r="H23" s="149">
        <v>0</v>
      </c>
      <c r="I23" s="150">
        <v>0</v>
      </c>
      <c r="J23" s="151">
        <f t="shared" si="0"/>
        <v>3</v>
      </c>
      <c r="K23" s="151">
        <f t="shared" si="1"/>
        <v>0</v>
      </c>
      <c r="L23" s="188">
        <f t="shared" si="2"/>
        <v>3</v>
      </c>
      <c r="M23" s="173" t="s">
        <v>22</v>
      </c>
      <c r="N23" s="140"/>
    </row>
    <row r="24" spans="1:14" s="152" customFormat="1" hidden="1">
      <c r="A24" s="148">
        <v>23</v>
      </c>
      <c r="B24" s="148" t="s">
        <v>45</v>
      </c>
      <c r="C24" s="148" t="s">
        <v>33</v>
      </c>
      <c r="D24" s="148" t="s">
        <v>34</v>
      </c>
      <c r="E24" s="148">
        <v>2</v>
      </c>
      <c r="F24" s="169" t="s">
        <v>49</v>
      </c>
      <c r="G24" s="148">
        <v>1</v>
      </c>
      <c r="H24" s="149">
        <v>2</v>
      </c>
      <c r="I24" s="150">
        <v>0</v>
      </c>
      <c r="J24" s="151">
        <f t="shared" si="0"/>
        <v>1</v>
      </c>
      <c r="K24" s="151">
        <f t="shared" si="1"/>
        <v>4</v>
      </c>
      <c r="L24" s="186">
        <f t="shared" si="2"/>
        <v>5</v>
      </c>
      <c r="M24" s="173" t="s">
        <v>15</v>
      </c>
      <c r="N24" s="140"/>
    </row>
    <row r="25" spans="1:14" s="152" customFormat="1" hidden="1">
      <c r="A25" s="148">
        <v>24</v>
      </c>
      <c r="B25" s="148" t="s">
        <v>45</v>
      </c>
      <c r="C25" s="148" t="s">
        <v>33</v>
      </c>
      <c r="D25" s="148" t="s">
        <v>34</v>
      </c>
      <c r="E25" s="148">
        <v>2</v>
      </c>
      <c r="F25" s="169" t="s">
        <v>40</v>
      </c>
      <c r="G25" s="148">
        <v>1</v>
      </c>
      <c r="H25" s="149">
        <v>2</v>
      </c>
      <c r="I25" s="150">
        <v>0</v>
      </c>
      <c r="J25" s="151">
        <f t="shared" si="0"/>
        <v>1</v>
      </c>
      <c r="K25" s="151">
        <f t="shared" si="1"/>
        <v>4</v>
      </c>
      <c r="L25" s="186">
        <f t="shared" si="2"/>
        <v>5</v>
      </c>
      <c r="M25" s="173" t="s">
        <v>23</v>
      </c>
      <c r="N25" s="140"/>
    </row>
    <row r="26" spans="1:14" s="152" customFormat="1" hidden="1">
      <c r="A26" s="148">
        <v>25</v>
      </c>
      <c r="B26" s="148" t="s">
        <v>45</v>
      </c>
      <c r="C26" s="148" t="s">
        <v>33</v>
      </c>
      <c r="D26" s="148" t="s">
        <v>34</v>
      </c>
      <c r="E26" s="148">
        <v>2</v>
      </c>
      <c r="F26" s="169" t="s">
        <v>41</v>
      </c>
      <c r="G26" s="148">
        <v>0</v>
      </c>
      <c r="H26" s="149">
        <v>2</v>
      </c>
      <c r="I26" s="150">
        <v>0</v>
      </c>
      <c r="J26" s="151">
        <f t="shared" si="0"/>
        <v>0</v>
      </c>
      <c r="K26" s="151">
        <f t="shared" si="1"/>
        <v>4</v>
      </c>
      <c r="L26" s="186">
        <f t="shared" si="2"/>
        <v>4</v>
      </c>
      <c r="M26" s="173" t="s">
        <v>25</v>
      </c>
      <c r="N26" s="140"/>
    </row>
    <row r="27" spans="1:14" s="152" customFormat="1" hidden="1">
      <c r="A27" s="148">
        <v>26</v>
      </c>
      <c r="B27" s="148" t="s">
        <v>45</v>
      </c>
      <c r="C27" s="148" t="s">
        <v>33</v>
      </c>
      <c r="D27" s="148" t="s">
        <v>34</v>
      </c>
      <c r="E27" s="148">
        <v>2</v>
      </c>
      <c r="F27" s="169" t="s">
        <v>50</v>
      </c>
      <c r="G27" s="148">
        <v>1</v>
      </c>
      <c r="H27" s="149">
        <v>0</v>
      </c>
      <c r="I27" s="150">
        <v>0</v>
      </c>
      <c r="J27" s="151">
        <f t="shared" si="0"/>
        <v>1</v>
      </c>
      <c r="K27" s="151">
        <f t="shared" si="1"/>
        <v>0</v>
      </c>
      <c r="L27" s="186">
        <f t="shared" si="2"/>
        <v>1</v>
      </c>
      <c r="M27" s="173" t="s">
        <v>17</v>
      </c>
      <c r="N27" s="140"/>
    </row>
    <row r="28" spans="1:14" s="152" customFormat="1" hidden="1">
      <c r="A28" s="148">
        <v>27</v>
      </c>
      <c r="B28" s="148" t="s">
        <v>45</v>
      </c>
      <c r="C28" s="148" t="s">
        <v>33</v>
      </c>
      <c r="D28" s="148" t="s">
        <v>34</v>
      </c>
      <c r="E28" s="148">
        <v>2</v>
      </c>
      <c r="F28" s="169" t="s">
        <v>43</v>
      </c>
      <c r="G28" s="148">
        <v>1</v>
      </c>
      <c r="H28" s="149">
        <v>0</v>
      </c>
      <c r="I28" s="150">
        <v>0</v>
      </c>
      <c r="J28" s="151">
        <f t="shared" si="0"/>
        <v>1</v>
      </c>
      <c r="K28" s="151">
        <f t="shared" si="1"/>
        <v>0</v>
      </c>
      <c r="L28" s="186">
        <f t="shared" si="2"/>
        <v>1</v>
      </c>
      <c r="M28" s="173" t="s">
        <v>154</v>
      </c>
      <c r="N28" s="140"/>
    </row>
    <row r="29" spans="1:14" s="152" customFormat="1" hidden="1">
      <c r="A29" s="148">
        <v>28</v>
      </c>
      <c r="B29" s="148" t="s">
        <v>45</v>
      </c>
      <c r="C29" s="148" t="s">
        <v>33</v>
      </c>
      <c r="D29" s="148" t="s">
        <v>34</v>
      </c>
      <c r="E29" s="148">
        <v>2</v>
      </c>
      <c r="F29" s="169" t="s">
        <v>51</v>
      </c>
      <c r="G29" s="148">
        <v>0</v>
      </c>
      <c r="H29" s="149">
        <v>2</v>
      </c>
      <c r="I29" s="150">
        <v>0</v>
      </c>
      <c r="J29" s="151">
        <f t="shared" si="0"/>
        <v>0</v>
      </c>
      <c r="K29" s="151">
        <f t="shared" si="1"/>
        <v>4</v>
      </c>
      <c r="L29" s="186">
        <f t="shared" si="2"/>
        <v>4</v>
      </c>
      <c r="M29" s="173" t="s">
        <v>30</v>
      </c>
      <c r="N29" s="140"/>
    </row>
    <row r="30" spans="1:14" s="147" customFormat="1" hidden="1">
      <c r="A30" s="153">
        <v>29</v>
      </c>
      <c r="B30" s="153" t="s">
        <v>45</v>
      </c>
      <c r="C30" s="153" t="s">
        <v>33</v>
      </c>
      <c r="D30" s="153" t="s">
        <v>44</v>
      </c>
      <c r="E30" s="153">
        <v>1</v>
      </c>
      <c r="F30" s="170" t="s">
        <v>35</v>
      </c>
      <c r="G30" s="153">
        <v>3</v>
      </c>
      <c r="H30" s="154">
        <v>2</v>
      </c>
      <c r="I30" s="146">
        <v>0</v>
      </c>
      <c r="J30" s="146">
        <f t="shared" si="0"/>
        <v>3</v>
      </c>
      <c r="K30" s="146">
        <f t="shared" si="1"/>
        <v>2</v>
      </c>
      <c r="L30" s="186">
        <f t="shared" si="2"/>
        <v>5</v>
      </c>
      <c r="M30" s="173" t="s">
        <v>26</v>
      </c>
      <c r="N30" s="139"/>
    </row>
    <row r="31" spans="1:14" s="147" customFormat="1" hidden="1">
      <c r="A31" s="153">
        <v>30</v>
      </c>
      <c r="B31" s="153" t="s">
        <v>45</v>
      </c>
      <c r="C31" s="153" t="s">
        <v>33</v>
      </c>
      <c r="D31" s="153" t="s">
        <v>44</v>
      </c>
      <c r="E31" s="153">
        <v>1</v>
      </c>
      <c r="F31" s="170" t="s">
        <v>46</v>
      </c>
      <c r="G31" s="153">
        <v>1</v>
      </c>
      <c r="H31" s="154">
        <v>2</v>
      </c>
      <c r="I31" s="146">
        <v>0</v>
      </c>
      <c r="J31" s="146">
        <f t="shared" si="0"/>
        <v>1</v>
      </c>
      <c r="K31" s="146">
        <f t="shared" si="1"/>
        <v>2</v>
      </c>
      <c r="L31" s="186">
        <f t="shared" si="2"/>
        <v>3</v>
      </c>
      <c r="M31" s="173" t="s">
        <v>31</v>
      </c>
      <c r="N31" s="139"/>
    </row>
    <row r="32" spans="1:14" s="147" customFormat="1" hidden="1">
      <c r="A32" s="153">
        <v>31</v>
      </c>
      <c r="B32" s="153" t="s">
        <v>45</v>
      </c>
      <c r="C32" s="153" t="s">
        <v>33</v>
      </c>
      <c r="D32" s="153" t="s">
        <v>44</v>
      </c>
      <c r="E32" s="153">
        <v>1</v>
      </c>
      <c r="F32" s="170" t="s">
        <v>47</v>
      </c>
      <c r="G32" s="153">
        <v>2</v>
      </c>
      <c r="H32" s="154">
        <v>0</v>
      </c>
      <c r="I32" s="146">
        <v>1</v>
      </c>
      <c r="J32" s="146">
        <f t="shared" si="0"/>
        <v>2</v>
      </c>
      <c r="K32" s="146">
        <v>1</v>
      </c>
      <c r="L32" s="186">
        <f t="shared" si="2"/>
        <v>3</v>
      </c>
      <c r="M32" s="173" t="s">
        <v>146</v>
      </c>
      <c r="N32" s="139"/>
    </row>
    <row r="33" spans="1:14" s="147" customFormat="1" hidden="1">
      <c r="A33" s="153">
        <v>32</v>
      </c>
      <c r="B33" s="153" t="s">
        <v>45</v>
      </c>
      <c r="C33" s="153" t="s">
        <v>33</v>
      </c>
      <c r="D33" s="153" t="s">
        <v>44</v>
      </c>
      <c r="E33" s="153">
        <v>1</v>
      </c>
      <c r="F33" s="170" t="s">
        <v>48</v>
      </c>
      <c r="G33" s="153">
        <v>3</v>
      </c>
      <c r="H33" s="154">
        <v>0</v>
      </c>
      <c r="I33" s="146">
        <v>0</v>
      </c>
      <c r="J33" s="146">
        <f t="shared" si="0"/>
        <v>3</v>
      </c>
      <c r="K33" s="146">
        <f t="shared" si="1"/>
        <v>0</v>
      </c>
      <c r="L33" s="188">
        <f t="shared" si="2"/>
        <v>3</v>
      </c>
      <c r="M33" s="173" t="s">
        <v>22</v>
      </c>
      <c r="N33" s="139"/>
    </row>
    <row r="34" spans="1:14" s="147" customFormat="1" hidden="1">
      <c r="A34" s="153">
        <v>33</v>
      </c>
      <c r="B34" s="153" t="s">
        <v>45</v>
      </c>
      <c r="C34" s="153" t="s">
        <v>33</v>
      </c>
      <c r="D34" s="153" t="s">
        <v>44</v>
      </c>
      <c r="E34" s="153">
        <v>1</v>
      </c>
      <c r="F34" s="170" t="s">
        <v>49</v>
      </c>
      <c r="G34" s="153">
        <v>1</v>
      </c>
      <c r="H34" s="154">
        <v>2</v>
      </c>
      <c r="I34" s="146">
        <v>0</v>
      </c>
      <c r="J34" s="146">
        <f t="shared" si="0"/>
        <v>1</v>
      </c>
      <c r="K34" s="146">
        <f t="shared" si="1"/>
        <v>2</v>
      </c>
      <c r="L34" s="186">
        <f t="shared" si="2"/>
        <v>3</v>
      </c>
      <c r="M34" s="173" t="s">
        <v>126</v>
      </c>
      <c r="N34" s="139"/>
    </row>
    <row r="35" spans="1:14" s="147" customFormat="1" hidden="1">
      <c r="A35" s="153">
        <v>34</v>
      </c>
      <c r="B35" s="153" t="s">
        <v>45</v>
      </c>
      <c r="C35" s="153" t="s">
        <v>33</v>
      </c>
      <c r="D35" s="153" t="s">
        <v>44</v>
      </c>
      <c r="E35" s="153">
        <v>1</v>
      </c>
      <c r="F35" s="170" t="s">
        <v>40</v>
      </c>
      <c r="G35" s="153">
        <v>1</v>
      </c>
      <c r="H35" s="154">
        <v>2</v>
      </c>
      <c r="I35" s="146">
        <v>0</v>
      </c>
      <c r="J35" s="146">
        <f t="shared" si="0"/>
        <v>1</v>
      </c>
      <c r="K35" s="146">
        <f t="shared" si="1"/>
        <v>2</v>
      </c>
      <c r="L35" s="188">
        <f t="shared" si="2"/>
        <v>3</v>
      </c>
      <c r="M35" s="173" t="s">
        <v>109</v>
      </c>
      <c r="N35" s="162" t="s">
        <v>147</v>
      </c>
    </row>
    <row r="36" spans="1:14" s="147" customFormat="1" hidden="1">
      <c r="A36" s="153">
        <v>35</v>
      </c>
      <c r="B36" s="153" t="s">
        <v>45</v>
      </c>
      <c r="C36" s="153" t="s">
        <v>33</v>
      </c>
      <c r="D36" s="153" t="s">
        <v>44</v>
      </c>
      <c r="E36" s="153">
        <v>1</v>
      </c>
      <c r="F36" s="170" t="s">
        <v>41</v>
      </c>
      <c r="G36" s="153">
        <v>0</v>
      </c>
      <c r="H36" s="154">
        <v>2</v>
      </c>
      <c r="I36" s="146">
        <v>0</v>
      </c>
      <c r="J36" s="146">
        <f t="shared" si="0"/>
        <v>0</v>
      </c>
      <c r="K36" s="146">
        <f t="shared" si="1"/>
        <v>2</v>
      </c>
      <c r="L36" s="186">
        <f t="shared" si="2"/>
        <v>2</v>
      </c>
      <c r="M36" s="173" t="s">
        <v>25</v>
      </c>
      <c r="N36" s="139"/>
    </row>
    <row r="37" spans="1:14" s="147" customFormat="1" hidden="1">
      <c r="A37" s="153">
        <v>36</v>
      </c>
      <c r="B37" s="153" t="s">
        <v>45</v>
      </c>
      <c r="C37" s="153" t="s">
        <v>33</v>
      </c>
      <c r="D37" s="153" t="s">
        <v>44</v>
      </c>
      <c r="E37" s="153">
        <v>1</v>
      </c>
      <c r="F37" s="170" t="s">
        <v>50</v>
      </c>
      <c r="G37" s="153">
        <v>1</v>
      </c>
      <c r="H37" s="154">
        <v>0</v>
      </c>
      <c r="I37" s="146">
        <v>0</v>
      </c>
      <c r="J37" s="146">
        <f t="shared" si="0"/>
        <v>1</v>
      </c>
      <c r="K37" s="146">
        <f t="shared" si="1"/>
        <v>0</v>
      </c>
      <c r="L37" s="186">
        <f t="shared" si="2"/>
        <v>1</v>
      </c>
      <c r="M37" s="173" t="s">
        <v>17</v>
      </c>
      <c r="N37" s="139"/>
    </row>
    <row r="38" spans="1:14" s="147" customFormat="1" hidden="1">
      <c r="A38" s="143">
        <v>27</v>
      </c>
      <c r="B38" s="143" t="s">
        <v>45</v>
      </c>
      <c r="C38" s="143" t="s">
        <v>33</v>
      </c>
      <c r="D38" s="143" t="s">
        <v>34</v>
      </c>
      <c r="E38" s="143">
        <v>2</v>
      </c>
      <c r="F38" s="169" t="s">
        <v>43</v>
      </c>
      <c r="G38" s="143">
        <v>1</v>
      </c>
      <c r="H38" s="144">
        <v>0</v>
      </c>
      <c r="I38" s="145">
        <v>0</v>
      </c>
      <c r="J38" s="146">
        <f t="shared" ref="J38" si="3">G38</f>
        <v>1</v>
      </c>
      <c r="K38" s="146">
        <f t="shared" ref="K38" si="4">E38*H38</f>
        <v>0</v>
      </c>
      <c r="L38" s="186">
        <f t="shared" ref="L38" si="5">J38+K38</f>
        <v>1</v>
      </c>
      <c r="M38" s="173" t="s">
        <v>154</v>
      </c>
      <c r="N38" s="139"/>
    </row>
    <row r="39" spans="1:14" s="147" customFormat="1" hidden="1">
      <c r="A39" s="153">
        <v>38</v>
      </c>
      <c r="B39" s="153" t="s">
        <v>45</v>
      </c>
      <c r="C39" s="153" t="s">
        <v>33</v>
      </c>
      <c r="D39" s="153" t="s">
        <v>44</v>
      </c>
      <c r="E39" s="153">
        <v>1</v>
      </c>
      <c r="F39" s="170" t="s">
        <v>51</v>
      </c>
      <c r="G39" s="153">
        <v>0</v>
      </c>
      <c r="H39" s="154">
        <v>2</v>
      </c>
      <c r="I39" s="146">
        <v>0</v>
      </c>
      <c r="J39" s="146">
        <f t="shared" si="0"/>
        <v>0</v>
      </c>
      <c r="K39" s="146">
        <f t="shared" si="1"/>
        <v>2</v>
      </c>
      <c r="L39" s="186">
        <f t="shared" si="2"/>
        <v>2</v>
      </c>
      <c r="M39" s="173" t="s">
        <v>30</v>
      </c>
      <c r="N39" s="139"/>
    </row>
    <row r="40" spans="1:14" s="159" customFormat="1" hidden="1">
      <c r="A40" s="155"/>
      <c r="B40" s="155" t="s">
        <v>52</v>
      </c>
      <c r="C40" s="155" t="s">
        <v>33</v>
      </c>
      <c r="D40" s="155" t="s">
        <v>34</v>
      </c>
      <c r="E40" s="155">
        <v>2</v>
      </c>
      <c r="F40" s="171" t="s">
        <v>35</v>
      </c>
      <c r="G40" s="156">
        <v>3</v>
      </c>
      <c r="H40" s="157">
        <v>2</v>
      </c>
      <c r="I40" s="158">
        <v>0</v>
      </c>
      <c r="J40" s="136">
        <f t="shared" si="0"/>
        <v>3</v>
      </c>
      <c r="K40" s="136">
        <f t="shared" si="1"/>
        <v>4</v>
      </c>
      <c r="L40" s="186">
        <f t="shared" si="2"/>
        <v>7</v>
      </c>
      <c r="M40" s="173" t="s">
        <v>153</v>
      </c>
      <c r="N40" s="135"/>
    </row>
    <row r="41" spans="1:14" s="159" customFormat="1" hidden="1">
      <c r="A41" s="155">
        <v>39</v>
      </c>
      <c r="B41" s="155" t="s">
        <v>52</v>
      </c>
      <c r="C41" s="155" t="s">
        <v>33</v>
      </c>
      <c r="D41" s="155" t="s">
        <v>34</v>
      </c>
      <c r="E41" s="155">
        <v>2</v>
      </c>
      <c r="F41" s="171" t="s">
        <v>36</v>
      </c>
      <c r="G41" s="155">
        <v>2</v>
      </c>
      <c r="H41" s="160">
        <v>2</v>
      </c>
      <c r="I41" s="161">
        <v>0</v>
      </c>
      <c r="J41" s="136">
        <f t="shared" si="0"/>
        <v>2</v>
      </c>
      <c r="K41" s="136">
        <f t="shared" si="1"/>
        <v>4</v>
      </c>
      <c r="L41" s="186">
        <f t="shared" si="2"/>
        <v>6</v>
      </c>
      <c r="M41" s="173" t="s">
        <v>106</v>
      </c>
      <c r="N41" s="135"/>
    </row>
    <row r="42" spans="1:14" s="159" customFormat="1" hidden="1">
      <c r="A42" s="155">
        <v>40</v>
      </c>
      <c r="B42" s="155" t="s">
        <v>52</v>
      </c>
      <c r="C42" s="155" t="s">
        <v>33</v>
      </c>
      <c r="D42" s="155" t="s">
        <v>34</v>
      </c>
      <c r="E42" s="155">
        <v>2</v>
      </c>
      <c r="F42" s="171" t="s">
        <v>37</v>
      </c>
      <c r="G42" s="155">
        <v>2</v>
      </c>
      <c r="H42" s="160">
        <v>0</v>
      </c>
      <c r="I42" s="161">
        <v>0</v>
      </c>
      <c r="J42" s="136">
        <f t="shared" si="0"/>
        <v>2</v>
      </c>
      <c r="K42" s="136">
        <f t="shared" si="1"/>
        <v>0</v>
      </c>
      <c r="L42" s="186">
        <f t="shared" si="2"/>
        <v>2</v>
      </c>
      <c r="M42" s="173" t="s">
        <v>24</v>
      </c>
      <c r="N42" s="135"/>
    </row>
    <row r="43" spans="1:14" s="159" customFormat="1" hidden="1">
      <c r="A43" s="155">
        <v>41</v>
      </c>
      <c r="B43" s="155" t="s">
        <v>52</v>
      </c>
      <c r="C43" s="155" t="s">
        <v>33</v>
      </c>
      <c r="D43" s="155" t="s">
        <v>34</v>
      </c>
      <c r="E43" s="155">
        <v>2</v>
      </c>
      <c r="F43" s="171" t="s">
        <v>38</v>
      </c>
      <c r="G43" s="155">
        <v>0</v>
      </c>
      <c r="H43" s="160">
        <v>2</v>
      </c>
      <c r="I43" s="161">
        <v>0</v>
      </c>
      <c r="J43" s="136">
        <f t="shared" si="0"/>
        <v>0</v>
      </c>
      <c r="K43" s="136">
        <f t="shared" si="1"/>
        <v>4</v>
      </c>
      <c r="L43" s="186">
        <f t="shared" si="2"/>
        <v>4</v>
      </c>
      <c r="M43" s="173" t="s">
        <v>24</v>
      </c>
      <c r="N43" s="135"/>
    </row>
    <row r="44" spans="1:14" s="159" customFormat="1" hidden="1">
      <c r="A44" s="155">
        <v>42</v>
      </c>
      <c r="B44" s="155" t="s">
        <v>52</v>
      </c>
      <c r="C44" s="155" t="s">
        <v>33</v>
      </c>
      <c r="D44" s="155" t="s">
        <v>34</v>
      </c>
      <c r="E44" s="155">
        <v>2</v>
      </c>
      <c r="F44" s="171" t="s">
        <v>39</v>
      </c>
      <c r="G44" s="155">
        <v>2</v>
      </c>
      <c r="H44" s="160">
        <v>2</v>
      </c>
      <c r="I44" s="161">
        <v>0</v>
      </c>
      <c r="J44" s="136">
        <f t="shared" si="0"/>
        <v>2</v>
      </c>
      <c r="K44" s="136">
        <f t="shared" si="1"/>
        <v>4</v>
      </c>
      <c r="L44" s="186">
        <f t="shared" si="2"/>
        <v>6</v>
      </c>
      <c r="M44" s="173" t="s">
        <v>27</v>
      </c>
      <c r="N44" s="135"/>
    </row>
    <row r="45" spans="1:14" s="159" customFormat="1" hidden="1">
      <c r="A45" s="155">
        <v>43</v>
      </c>
      <c r="B45" s="155" t="s">
        <v>52</v>
      </c>
      <c r="C45" s="155" t="s">
        <v>33</v>
      </c>
      <c r="D45" s="155" t="s">
        <v>34</v>
      </c>
      <c r="E45" s="155">
        <v>2</v>
      </c>
      <c r="F45" s="171" t="s">
        <v>42</v>
      </c>
      <c r="G45" s="155">
        <v>0</v>
      </c>
      <c r="H45" s="160">
        <v>2</v>
      </c>
      <c r="I45" s="161">
        <v>2</v>
      </c>
      <c r="J45" s="136">
        <f t="shared" si="0"/>
        <v>0</v>
      </c>
      <c r="K45" s="136">
        <v>8</v>
      </c>
      <c r="L45" s="186">
        <f t="shared" si="2"/>
        <v>8</v>
      </c>
      <c r="M45" s="173" t="s">
        <v>128</v>
      </c>
      <c r="N45" s="135"/>
    </row>
    <row r="46" spans="1:14" s="159" customFormat="1" hidden="1">
      <c r="A46" s="155">
        <v>44</v>
      </c>
      <c r="B46" s="155" t="s">
        <v>52</v>
      </c>
      <c r="C46" s="155" t="s">
        <v>33</v>
      </c>
      <c r="D46" s="155" t="s">
        <v>34</v>
      </c>
      <c r="E46" s="155">
        <v>2</v>
      </c>
      <c r="F46" s="171" t="s">
        <v>53</v>
      </c>
      <c r="G46" s="155">
        <v>0</v>
      </c>
      <c r="H46" s="160">
        <v>2</v>
      </c>
      <c r="I46" s="161">
        <v>0</v>
      </c>
      <c r="J46" s="136">
        <f t="shared" si="0"/>
        <v>0</v>
      </c>
      <c r="K46" s="136">
        <f t="shared" si="1"/>
        <v>4</v>
      </c>
      <c r="L46" s="186">
        <f t="shared" si="2"/>
        <v>4</v>
      </c>
      <c r="M46" s="173" t="s">
        <v>25</v>
      </c>
      <c r="N46" s="135"/>
    </row>
    <row r="47" spans="1:14" s="159" customFormat="1" hidden="1">
      <c r="A47" s="155">
        <v>45</v>
      </c>
      <c r="B47" s="155" t="s">
        <v>52</v>
      </c>
      <c r="C47" s="155" t="s">
        <v>33</v>
      </c>
      <c r="D47" s="155" t="s">
        <v>34</v>
      </c>
      <c r="E47" s="155">
        <v>2</v>
      </c>
      <c r="F47" s="171" t="s">
        <v>54</v>
      </c>
      <c r="G47" s="155">
        <v>2</v>
      </c>
      <c r="H47" s="160">
        <v>0</v>
      </c>
      <c r="I47" s="161">
        <v>0</v>
      </c>
      <c r="J47" s="136">
        <f t="shared" si="0"/>
        <v>2</v>
      </c>
      <c r="K47" s="136">
        <f t="shared" si="1"/>
        <v>0</v>
      </c>
      <c r="L47" s="186">
        <f t="shared" si="2"/>
        <v>2</v>
      </c>
      <c r="M47" s="173" t="s">
        <v>16</v>
      </c>
      <c r="N47" s="135"/>
    </row>
    <row r="48" spans="1:14" s="159" customFormat="1" hidden="1">
      <c r="A48" s="155">
        <v>46</v>
      </c>
      <c r="B48" s="155" t="s">
        <v>52</v>
      </c>
      <c r="C48" s="155" t="s">
        <v>33</v>
      </c>
      <c r="D48" s="155" t="s">
        <v>34</v>
      </c>
      <c r="E48" s="155">
        <v>2</v>
      </c>
      <c r="F48" s="171" t="s">
        <v>40</v>
      </c>
      <c r="G48" s="155">
        <v>1</v>
      </c>
      <c r="H48" s="160">
        <v>2</v>
      </c>
      <c r="I48" s="161">
        <v>0</v>
      </c>
      <c r="J48" s="136">
        <f t="shared" si="0"/>
        <v>1</v>
      </c>
      <c r="K48" s="136">
        <f t="shared" si="1"/>
        <v>4</v>
      </c>
      <c r="L48" s="188">
        <f t="shared" si="2"/>
        <v>5</v>
      </c>
      <c r="M48" s="173" t="s">
        <v>109</v>
      </c>
      <c r="N48" s="163" t="s">
        <v>147</v>
      </c>
    </row>
    <row r="49" spans="1:14" s="159" customFormat="1" hidden="1">
      <c r="A49" s="155">
        <v>47</v>
      </c>
      <c r="B49" s="155" t="s">
        <v>52</v>
      </c>
      <c r="C49" s="155" t="s">
        <v>33</v>
      </c>
      <c r="D49" s="155" t="s">
        <v>34</v>
      </c>
      <c r="E49" s="155">
        <v>2</v>
      </c>
      <c r="F49" s="171" t="s">
        <v>43</v>
      </c>
      <c r="G49" s="155">
        <v>1</v>
      </c>
      <c r="H49" s="160">
        <v>0</v>
      </c>
      <c r="I49" s="161">
        <v>0</v>
      </c>
      <c r="J49" s="136">
        <f t="shared" si="0"/>
        <v>1</v>
      </c>
      <c r="K49" s="136">
        <f t="shared" si="1"/>
        <v>0</v>
      </c>
      <c r="L49" s="186">
        <f t="shared" si="2"/>
        <v>1</v>
      </c>
      <c r="M49" s="173" t="s">
        <v>154</v>
      </c>
      <c r="N49" s="135"/>
    </row>
    <row r="50" spans="1:14" hidden="1">
      <c r="A50" s="15">
        <v>48</v>
      </c>
      <c r="B50" s="15" t="s">
        <v>32</v>
      </c>
      <c r="C50" s="15" t="s">
        <v>55</v>
      </c>
      <c r="D50" s="15" t="s">
        <v>34</v>
      </c>
      <c r="E50" s="15">
        <v>2</v>
      </c>
      <c r="F50" s="175" t="s">
        <v>56</v>
      </c>
      <c r="G50" s="15">
        <v>3</v>
      </c>
      <c r="H50" s="16">
        <v>0</v>
      </c>
      <c r="I50" s="32">
        <v>1</v>
      </c>
      <c r="J50" s="27">
        <f t="shared" si="0"/>
        <v>3</v>
      </c>
      <c r="K50" s="27">
        <v>2</v>
      </c>
      <c r="L50" s="186">
        <f t="shared" si="2"/>
        <v>5</v>
      </c>
      <c r="M50" s="173" t="s">
        <v>14</v>
      </c>
    </row>
    <row r="51" spans="1:14" hidden="1">
      <c r="A51" s="15">
        <v>49</v>
      </c>
      <c r="B51" s="15" t="s">
        <v>32</v>
      </c>
      <c r="C51" s="15" t="s">
        <v>55</v>
      </c>
      <c r="D51" s="15" t="s">
        <v>34</v>
      </c>
      <c r="E51" s="15">
        <v>2</v>
      </c>
      <c r="F51" s="175" t="s">
        <v>57</v>
      </c>
      <c r="G51" s="15">
        <v>3</v>
      </c>
      <c r="H51" s="16">
        <v>0</v>
      </c>
      <c r="I51" s="32">
        <v>0</v>
      </c>
      <c r="J51" s="27">
        <f t="shared" si="0"/>
        <v>3</v>
      </c>
      <c r="K51" s="27">
        <f t="shared" si="1"/>
        <v>0</v>
      </c>
      <c r="L51" s="186">
        <f t="shared" si="2"/>
        <v>3</v>
      </c>
      <c r="M51" s="173" t="s">
        <v>18</v>
      </c>
    </row>
    <row r="52" spans="1:14" hidden="1">
      <c r="A52" s="15">
        <v>50</v>
      </c>
      <c r="B52" s="15" t="s">
        <v>32</v>
      </c>
      <c r="C52" s="15" t="s">
        <v>55</v>
      </c>
      <c r="D52" s="15" t="s">
        <v>34</v>
      </c>
      <c r="E52" s="15">
        <v>2</v>
      </c>
      <c r="F52" s="175" t="s">
        <v>58</v>
      </c>
      <c r="G52" s="15">
        <v>2</v>
      </c>
      <c r="H52" s="16">
        <v>2</v>
      </c>
      <c r="I52" s="32">
        <v>0</v>
      </c>
      <c r="J52" s="27">
        <f t="shared" si="0"/>
        <v>2</v>
      </c>
      <c r="K52" s="27">
        <f t="shared" si="1"/>
        <v>4</v>
      </c>
      <c r="L52" s="186">
        <f t="shared" si="2"/>
        <v>6</v>
      </c>
      <c r="M52" s="173" t="s">
        <v>15</v>
      </c>
    </row>
    <row r="53" spans="1:14" hidden="1">
      <c r="A53" s="15">
        <v>51</v>
      </c>
      <c r="B53" s="15" t="s">
        <v>32</v>
      </c>
      <c r="C53" s="15" t="s">
        <v>55</v>
      </c>
      <c r="D53" s="15" t="s">
        <v>34</v>
      </c>
      <c r="E53" s="15">
        <v>2</v>
      </c>
      <c r="F53" s="175" t="s">
        <v>59</v>
      </c>
      <c r="G53" s="15">
        <v>2</v>
      </c>
      <c r="H53" s="16">
        <v>2</v>
      </c>
      <c r="I53" s="32">
        <v>0</v>
      </c>
      <c r="J53" s="27">
        <f t="shared" si="0"/>
        <v>2</v>
      </c>
      <c r="K53" s="27">
        <f t="shared" si="1"/>
        <v>4</v>
      </c>
      <c r="L53" s="186">
        <f t="shared" si="2"/>
        <v>6</v>
      </c>
      <c r="M53" s="173" t="s">
        <v>13</v>
      </c>
    </row>
    <row r="54" spans="1:14" hidden="1">
      <c r="A54" s="15">
        <v>52</v>
      </c>
      <c r="B54" s="15" t="s">
        <v>32</v>
      </c>
      <c r="C54" s="15" t="s">
        <v>55</v>
      </c>
      <c r="D54" s="15" t="s">
        <v>34</v>
      </c>
      <c r="E54" s="15">
        <v>2</v>
      </c>
      <c r="F54" s="175" t="s">
        <v>60</v>
      </c>
      <c r="G54" s="15">
        <v>3</v>
      </c>
      <c r="H54" s="16">
        <v>2</v>
      </c>
      <c r="I54" s="32">
        <v>0</v>
      </c>
      <c r="J54" s="27">
        <f t="shared" si="0"/>
        <v>3</v>
      </c>
      <c r="K54" s="27">
        <f t="shared" si="1"/>
        <v>4</v>
      </c>
      <c r="L54" s="186">
        <f t="shared" si="2"/>
        <v>7</v>
      </c>
      <c r="M54" s="173" t="s">
        <v>12</v>
      </c>
      <c r="N54" s="141" t="s">
        <v>148</v>
      </c>
    </row>
    <row r="55" spans="1:14" hidden="1">
      <c r="A55" s="15">
        <v>53</v>
      </c>
      <c r="B55" s="15" t="s">
        <v>32</v>
      </c>
      <c r="C55" s="15" t="s">
        <v>55</v>
      </c>
      <c r="D55" s="15" t="s">
        <v>34</v>
      </c>
      <c r="E55" s="15">
        <v>2</v>
      </c>
      <c r="F55" s="175" t="s">
        <v>61</v>
      </c>
      <c r="G55" s="15">
        <v>2</v>
      </c>
      <c r="H55" s="16">
        <v>0</v>
      </c>
      <c r="I55" s="32">
        <v>1</v>
      </c>
      <c r="J55" s="27">
        <f t="shared" si="0"/>
        <v>2</v>
      </c>
      <c r="K55" s="27">
        <f t="shared" si="1"/>
        <v>0</v>
      </c>
      <c r="L55" s="186">
        <v>4</v>
      </c>
      <c r="M55" s="173" t="s">
        <v>19</v>
      </c>
    </row>
    <row r="56" spans="1:14" hidden="1">
      <c r="A56" s="15">
        <v>54</v>
      </c>
      <c r="B56" s="15" t="s">
        <v>32</v>
      </c>
      <c r="C56" s="15" t="s">
        <v>55</v>
      </c>
      <c r="D56" s="15" t="s">
        <v>34</v>
      </c>
      <c r="E56" s="15">
        <v>2</v>
      </c>
      <c r="F56" s="175" t="s">
        <v>62</v>
      </c>
      <c r="G56" s="15">
        <v>2</v>
      </c>
      <c r="H56" s="16">
        <v>2</v>
      </c>
      <c r="I56" s="32">
        <v>0</v>
      </c>
      <c r="J56" s="27">
        <f t="shared" si="0"/>
        <v>2</v>
      </c>
      <c r="K56" s="27">
        <f t="shared" si="1"/>
        <v>4</v>
      </c>
      <c r="L56" s="186">
        <f t="shared" si="2"/>
        <v>6</v>
      </c>
      <c r="M56" s="173" t="s">
        <v>20</v>
      </c>
    </row>
    <row r="57" spans="1:14" hidden="1">
      <c r="A57" s="15">
        <v>55</v>
      </c>
      <c r="B57" s="15" t="s">
        <v>32</v>
      </c>
      <c r="C57" s="15" t="s">
        <v>55</v>
      </c>
      <c r="D57" s="15" t="s">
        <v>34</v>
      </c>
      <c r="E57" s="15">
        <v>2</v>
      </c>
      <c r="F57" s="175" t="s">
        <v>63</v>
      </c>
      <c r="G57" s="15">
        <v>0</v>
      </c>
      <c r="H57" s="16">
        <v>2</v>
      </c>
      <c r="I57" s="32">
        <v>0</v>
      </c>
      <c r="J57" s="27">
        <f t="shared" si="0"/>
        <v>0</v>
      </c>
      <c r="K57" s="27">
        <f t="shared" si="1"/>
        <v>4</v>
      </c>
      <c r="L57" s="186">
        <f t="shared" si="2"/>
        <v>4</v>
      </c>
      <c r="M57" s="173" t="s">
        <v>149</v>
      </c>
    </row>
    <row r="58" spans="1:14" hidden="1">
      <c r="A58" s="15">
        <v>56</v>
      </c>
      <c r="B58" s="15" t="s">
        <v>32</v>
      </c>
      <c r="C58" s="15" t="s">
        <v>55</v>
      </c>
      <c r="D58" s="15" t="s">
        <v>34</v>
      </c>
      <c r="E58" s="15">
        <v>2</v>
      </c>
      <c r="F58" s="175" t="s">
        <v>64</v>
      </c>
      <c r="G58" s="15">
        <v>0</v>
      </c>
      <c r="H58" s="16">
        <v>2</v>
      </c>
      <c r="I58" s="32">
        <v>0</v>
      </c>
      <c r="J58" s="27">
        <f t="shared" si="0"/>
        <v>0</v>
      </c>
      <c r="K58" s="27">
        <f t="shared" si="1"/>
        <v>4</v>
      </c>
      <c r="L58" s="186">
        <f t="shared" si="2"/>
        <v>4</v>
      </c>
      <c r="M58" s="173" t="s">
        <v>30</v>
      </c>
    </row>
    <row r="59" spans="1:14" s="152" customFormat="1" hidden="1">
      <c r="A59" s="164">
        <v>57</v>
      </c>
      <c r="B59" s="164" t="s">
        <v>32</v>
      </c>
      <c r="C59" s="164" t="s">
        <v>55</v>
      </c>
      <c r="D59" s="164" t="s">
        <v>44</v>
      </c>
      <c r="E59" s="164">
        <v>2</v>
      </c>
      <c r="F59" s="176" t="s">
        <v>56</v>
      </c>
      <c r="G59" s="164">
        <v>3</v>
      </c>
      <c r="H59" s="165">
        <v>0</v>
      </c>
      <c r="I59" s="166">
        <v>1</v>
      </c>
      <c r="J59" s="151">
        <f t="shared" si="0"/>
        <v>3</v>
      </c>
      <c r="K59" s="151">
        <v>2</v>
      </c>
      <c r="L59" s="186">
        <f t="shared" si="2"/>
        <v>5</v>
      </c>
      <c r="M59" s="173" t="s">
        <v>14</v>
      </c>
      <c r="N59" s="140"/>
    </row>
    <row r="60" spans="1:14" s="152" customFormat="1" hidden="1">
      <c r="A60" s="164">
        <v>58</v>
      </c>
      <c r="B60" s="164" t="s">
        <v>32</v>
      </c>
      <c r="C60" s="164" t="s">
        <v>55</v>
      </c>
      <c r="D60" s="164" t="s">
        <v>44</v>
      </c>
      <c r="E60" s="164">
        <v>2</v>
      </c>
      <c r="F60" s="176" t="s">
        <v>57</v>
      </c>
      <c r="G60" s="164">
        <v>3</v>
      </c>
      <c r="H60" s="165">
        <v>0</v>
      </c>
      <c r="I60" s="166">
        <v>0</v>
      </c>
      <c r="J60" s="151">
        <f t="shared" si="0"/>
        <v>3</v>
      </c>
      <c r="K60" s="151">
        <f t="shared" si="1"/>
        <v>0</v>
      </c>
      <c r="L60" s="186">
        <f t="shared" si="2"/>
        <v>3</v>
      </c>
      <c r="M60" s="173" t="s">
        <v>18</v>
      </c>
      <c r="N60" s="140"/>
    </row>
    <row r="61" spans="1:14" s="152" customFormat="1" hidden="1">
      <c r="A61" s="164">
        <v>59</v>
      </c>
      <c r="B61" s="164" t="s">
        <v>32</v>
      </c>
      <c r="C61" s="164" t="s">
        <v>55</v>
      </c>
      <c r="D61" s="164" t="s">
        <v>44</v>
      </c>
      <c r="E61" s="164">
        <v>2</v>
      </c>
      <c r="F61" s="176" t="s">
        <v>58</v>
      </c>
      <c r="G61" s="164">
        <v>2</v>
      </c>
      <c r="H61" s="165">
        <v>2</v>
      </c>
      <c r="I61" s="166">
        <v>0</v>
      </c>
      <c r="J61" s="151">
        <f t="shared" si="0"/>
        <v>2</v>
      </c>
      <c r="K61" s="151">
        <f t="shared" si="1"/>
        <v>4</v>
      </c>
      <c r="L61" s="186">
        <f t="shared" si="2"/>
        <v>6</v>
      </c>
      <c r="M61" s="173" t="s">
        <v>15</v>
      </c>
      <c r="N61" s="140"/>
    </row>
    <row r="62" spans="1:14" s="152" customFormat="1" hidden="1">
      <c r="A62" s="164">
        <v>60</v>
      </c>
      <c r="B62" s="164" t="s">
        <v>32</v>
      </c>
      <c r="C62" s="164" t="s">
        <v>55</v>
      </c>
      <c r="D62" s="164" t="s">
        <v>44</v>
      </c>
      <c r="E62" s="164">
        <v>2</v>
      </c>
      <c r="F62" s="176" t="s">
        <v>59</v>
      </c>
      <c r="G62" s="164">
        <v>2</v>
      </c>
      <c r="H62" s="165">
        <v>2</v>
      </c>
      <c r="I62" s="166">
        <v>0</v>
      </c>
      <c r="J62" s="151">
        <f t="shared" si="0"/>
        <v>2</v>
      </c>
      <c r="K62" s="151">
        <f t="shared" si="1"/>
        <v>4</v>
      </c>
      <c r="L62" s="186">
        <f t="shared" si="2"/>
        <v>6</v>
      </c>
      <c r="M62" s="173" t="s">
        <v>13</v>
      </c>
      <c r="N62" s="140"/>
    </row>
    <row r="63" spans="1:14" s="152" customFormat="1" hidden="1">
      <c r="A63" s="164">
        <v>61</v>
      </c>
      <c r="B63" s="164" t="s">
        <v>32</v>
      </c>
      <c r="C63" s="164" t="s">
        <v>55</v>
      </c>
      <c r="D63" s="164" t="s">
        <v>44</v>
      </c>
      <c r="E63" s="164">
        <v>2</v>
      </c>
      <c r="F63" s="176" t="s">
        <v>60</v>
      </c>
      <c r="G63" s="164">
        <v>3</v>
      </c>
      <c r="H63" s="165">
        <v>2</v>
      </c>
      <c r="I63" s="166">
        <v>0</v>
      </c>
      <c r="J63" s="151">
        <f t="shared" si="0"/>
        <v>3</v>
      </c>
      <c r="K63" s="151">
        <f t="shared" si="1"/>
        <v>4</v>
      </c>
      <c r="L63" s="186">
        <f t="shared" si="2"/>
        <v>7</v>
      </c>
      <c r="M63" s="173" t="s">
        <v>129</v>
      </c>
      <c r="N63" s="140"/>
    </row>
    <row r="64" spans="1:14" s="152" customFormat="1" hidden="1">
      <c r="A64" s="164">
        <v>62</v>
      </c>
      <c r="B64" s="164" t="s">
        <v>32</v>
      </c>
      <c r="C64" s="164" t="s">
        <v>55</v>
      </c>
      <c r="D64" s="164" t="s">
        <v>44</v>
      </c>
      <c r="E64" s="164">
        <v>2</v>
      </c>
      <c r="F64" s="176" t="s">
        <v>61</v>
      </c>
      <c r="G64" s="164">
        <v>2</v>
      </c>
      <c r="H64" s="165">
        <v>0</v>
      </c>
      <c r="I64" s="166">
        <v>1</v>
      </c>
      <c r="J64" s="151">
        <f t="shared" si="0"/>
        <v>2</v>
      </c>
      <c r="K64" s="151">
        <f t="shared" si="1"/>
        <v>0</v>
      </c>
      <c r="L64" s="186">
        <v>4</v>
      </c>
      <c r="M64" s="173" t="s">
        <v>19</v>
      </c>
      <c r="N64" s="140"/>
    </row>
    <row r="65" spans="1:14" s="152" customFormat="1" hidden="1">
      <c r="A65" s="164">
        <v>63</v>
      </c>
      <c r="B65" s="164" t="s">
        <v>32</v>
      </c>
      <c r="C65" s="164" t="s">
        <v>55</v>
      </c>
      <c r="D65" s="164" t="s">
        <v>44</v>
      </c>
      <c r="E65" s="164">
        <v>2</v>
      </c>
      <c r="F65" s="176" t="s">
        <v>62</v>
      </c>
      <c r="G65" s="164">
        <v>2</v>
      </c>
      <c r="H65" s="165">
        <v>2</v>
      </c>
      <c r="I65" s="166">
        <v>0</v>
      </c>
      <c r="J65" s="151">
        <f t="shared" si="0"/>
        <v>2</v>
      </c>
      <c r="K65" s="151">
        <f t="shared" si="1"/>
        <v>4</v>
      </c>
      <c r="L65" s="186">
        <f t="shared" si="2"/>
        <v>6</v>
      </c>
      <c r="M65" s="173" t="s">
        <v>20</v>
      </c>
      <c r="N65" s="140"/>
    </row>
    <row r="66" spans="1:14" s="152" customFormat="1" hidden="1">
      <c r="A66" s="164">
        <v>64</v>
      </c>
      <c r="B66" s="164" t="s">
        <v>32</v>
      </c>
      <c r="C66" s="164" t="s">
        <v>55</v>
      </c>
      <c r="D66" s="164" t="s">
        <v>44</v>
      </c>
      <c r="E66" s="164">
        <v>2</v>
      </c>
      <c r="F66" s="176" t="s">
        <v>63</v>
      </c>
      <c r="G66" s="164">
        <v>0</v>
      </c>
      <c r="H66" s="165">
        <v>2</v>
      </c>
      <c r="I66" s="166">
        <v>0</v>
      </c>
      <c r="J66" s="151">
        <f t="shared" si="0"/>
        <v>0</v>
      </c>
      <c r="K66" s="151">
        <f t="shared" si="1"/>
        <v>4</v>
      </c>
      <c r="L66" s="186">
        <f t="shared" si="2"/>
        <v>4</v>
      </c>
      <c r="M66" s="173" t="s">
        <v>129</v>
      </c>
      <c r="N66" s="140"/>
    </row>
    <row r="67" spans="1:14" s="152" customFormat="1" hidden="1">
      <c r="A67" s="164">
        <v>65</v>
      </c>
      <c r="B67" s="164" t="s">
        <v>32</v>
      </c>
      <c r="C67" s="164" t="s">
        <v>55</v>
      </c>
      <c r="D67" s="164" t="s">
        <v>44</v>
      </c>
      <c r="E67" s="164">
        <v>2</v>
      </c>
      <c r="F67" s="176" t="s">
        <v>64</v>
      </c>
      <c r="G67" s="164">
        <v>0</v>
      </c>
      <c r="H67" s="165">
        <v>2</v>
      </c>
      <c r="I67" s="166">
        <v>0</v>
      </c>
      <c r="J67" s="151">
        <f t="shared" ref="J67:J134" si="6">G67</f>
        <v>0</v>
      </c>
      <c r="K67" s="151">
        <f t="shared" ref="K67:K133" si="7">E67*H67</f>
        <v>4</v>
      </c>
      <c r="L67" s="186">
        <f t="shared" ref="L67:L133" si="8">J67+K67</f>
        <v>4</v>
      </c>
      <c r="M67" s="173" t="s">
        <v>16</v>
      </c>
      <c r="N67" s="140"/>
    </row>
    <row r="68" spans="1:14" s="102" customFormat="1" hidden="1">
      <c r="A68" s="125">
        <v>66</v>
      </c>
      <c r="B68" s="125" t="s">
        <v>45</v>
      </c>
      <c r="C68" s="125" t="s">
        <v>55</v>
      </c>
      <c r="D68" s="125" t="s">
        <v>34</v>
      </c>
      <c r="E68" s="125">
        <v>2</v>
      </c>
      <c r="F68" s="175" t="s">
        <v>65</v>
      </c>
      <c r="G68" s="125">
        <v>2</v>
      </c>
      <c r="H68" s="126">
        <v>2</v>
      </c>
      <c r="I68" s="127">
        <v>0</v>
      </c>
      <c r="J68" s="101">
        <f t="shared" si="6"/>
        <v>2</v>
      </c>
      <c r="K68" s="101">
        <f t="shared" si="7"/>
        <v>4</v>
      </c>
      <c r="L68" s="186">
        <f t="shared" si="8"/>
        <v>6</v>
      </c>
      <c r="M68" s="173" t="s">
        <v>125</v>
      </c>
      <c r="N68" s="137"/>
    </row>
    <row r="69" spans="1:14" s="102" customFormat="1" hidden="1">
      <c r="A69" s="125">
        <v>67</v>
      </c>
      <c r="B69" s="125" t="s">
        <v>45</v>
      </c>
      <c r="C69" s="125" t="s">
        <v>55</v>
      </c>
      <c r="D69" s="125" t="s">
        <v>34</v>
      </c>
      <c r="E69" s="125">
        <v>2</v>
      </c>
      <c r="F69" s="175" t="s">
        <v>66</v>
      </c>
      <c r="G69" s="125">
        <v>3</v>
      </c>
      <c r="H69" s="126">
        <v>2</v>
      </c>
      <c r="I69" s="127">
        <v>0</v>
      </c>
      <c r="J69" s="101">
        <f t="shared" si="6"/>
        <v>3</v>
      </c>
      <c r="K69" s="101">
        <f t="shared" si="7"/>
        <v>4</v>
      </c>
      <c r="L69" s="186">
        <f t="shared" si="8"/>
        <v>7</v>
      </c>
      <c r="M69" s="173" t="s">
        <v>28</v>
      </c>
      <c r="N69" s="137"/>
    </row>
    <row r="70" spans="1:14" s="102" customFormat="1" hidden="1">
      <c r="A70" s="125">
        <v>68</v>
      </c>
      <c r="B70" s="125" t="s">
        <v>45</v>
      </c>
      <c r="C70" s="125" t="s">
        <v>55</v>
      </c>
      <c r="D70" s="125" t="s">
        <v>34</v>
      </c>
      <c r="E70" s="125">
        <v>2</v>
      </c>
      <c r="F70" s="175" t="s">
        <v>67</v>
      </c>
      <c r="G70" s="125">
        <v>3</v>
      </c>
      <c r="H70" s="126">
        <v>2</v>
      </c>
      <c r="I70" s="127">
        <v>0</v>
      </c>
      <c r="J70" s="101">
        <f t="shared" si="6"/>
        <v>3</v>
      </c>
      <c r="K70" s="101">
        <f t="shared" si="7"/>
        <v>4</v>
      </c>
      <c r="L70" s="186">
        <f t="shared" si="8"/>
        <v>7</v>
      </c>
      <c r="M70" s="173" t="s">
        <v>27</v>
      </c>
      <c r="N70" s="137"/>
    </row>
    <row r="71" spans="1:14" s="102" customFormat="1" hidden="1">
      <c r="A71" s="125">
        <v>69</v>
      </c>
      <c r="B71" s="125" t="s">
        <v>45</v>
      </c>
      <c r="C71" s="125" t="s">
        <v>55</v>
      </c>
      <c r="D71" s="125" t="s">
        <v>34</v>
      </c>
      <c r="E71" s="125">
        <v>2</v>
      </c>
      <c r="F71" s="175" t="s">
        <v>59</v>
      </c>
      <c r="G71" s="125">
        <v>2</v>
      </c>
      <c r="H71" s="126">
        <v>2</v>
      </c>
      <c r="I71" s="127">
        <v>0</v>
      </c>
      <c r="J71" s="101">
        <f t="shared" si="6"/>
        <v>2</v>
      </c>
      <c r="K71" s="101">
        <f t="shared" si="7"/>
        <v>4</v>
      </c>
      <c r="L71" s="186">
        <f t="shared" si="8"/>
        <v>6</v>
      </c>
      <c r="M71" s="173" t="s">
        <v>29</v>
      </c>
      <c r="N71" s="137"/>
    </row>
    <row r="72" spans="1:14" s="102" customFormat="1" hidden="1">
      <c r="A72" s="125">
        <v>70</v>
      </c>
      <c r="B72" s="125" t="s">
        <v>45</v>
      </c>
      <c r="C72" s="125" t="s">
        <v>55</v>
      </c>
      <c r="D72" s="125" t="s">
        <v>34</v>
      </c>
      <c r="E72" s="125">
        <v>2</v>
      </c>
      <c r="F72" s="175" t="s">
        <v>68</v>
      </c>
      <c r="G72" s="125">
        <v>2</v>
      </c>
      <c r="H72" s="126">
        <v>2</v>
      </c>
      <c r="I72" s="127">
        <v>0</v>
      </c>
      <c r="J72" s="101">
        <f t="shared" si="6"/>
        <v>2</v>
      </c>
      <c r="K72" s="101">
        <f t="shared" si="7"/>
        <v>4</v>
      </c>
      <c r="L72" s="186">
        <f t="shared" si="8"/>
        <v>6</v>
      </c>
      <c r="M72" s="173" t="s">
        <v>9</v>
      </c>
      <c r="N72" s="137"/>
    </row>
    <row r="73" spans="1:14" s="102" customFormat="1" hidden="1">
      <c r="A73" s="125">
        <v>71</v>
      </c>
      <c r="B73" s="125" t="s">
        <v>45</v>
      </c>
      <c r="C73" s="125" t="s">
        <v>55</v>
      </c>
      <c r="D73" s="125" t="s">
        <v>34</v>
      </c>
      <c r="E73" s="125">
        <v>2</v>
      </c>
      <c r="F73" s="175" t="s">
        <v>69</v>
      </c>
      <c r="G73" s="125">
        <v>2</v>
      </c>
      <c r="H73" s="126">
        <v>0</v>
      </c>
      <c r="I73" s="127">
        <v>0</v>
      </c>
      <c r="J73" s="101">
        <f t="shared" si="6"/>
        <v>2</v>
      </c>
      <c r="K73" s="101">
        <f t="shared" si="7"/>
        <v>0</v>
      </c>
      <c r="L73" s="188">
        <f t="shared" si="8"/>
        <v>2</v>
      </c>
      <c r="M73" s="173" t="s">
        <v>22</v>
      </c>
      <c r="N73" s="137"/>
    </row>
    <row r="74" spans="1:14" s="102" customFormat="1" hidden="1">
      <c r="A74" s="125">
        <v>72</v>
      </c>
      <c r="B74" s="125" t="s">
        <v>45</v>
      </c>
      <c r="C74" s="125" t="s">
        <v>55</v>
      </c>
      <c r="D74" s="125" t="s">
        <v>34</v>
      </c>
      <c r="E74" s="125">
        <v>2</v>
      </c>
      <c r="F74" s="175" t="s">
        <v>70</v>
      </c>
      <c r="G74" s="125">
        <v>2</v>
      </c>
      <c r="H74" s="126">
        <v>0</v>
      </c>
      <c r="I74" s="127">
        <v>1</v>
      </c>
      <c r="J74" s="101">
        <f t="shared" si="6"/>
        <v>2</v>
      </c>
      <c r="K74" s="101">
        <v>2</v>
      </c>
      <c r="L74" s="186">
        <f t="shared" si="8"/>
        <v>4</v>
      </c>
      <c r="M74" s="173" t="s">
        <v>14</v>
      </c>
      <c r="N74" s="137"/>
    </row>
    <row r="75" spans="1:14" s="152" customFormat="1" hidden="1">
      <c r="A75" s="164">
        <v>73</v>
      </c>
      <c r="B75" s="164" t="s">
        <v>45</v>
      </c>
      <c r="C75" s="164" t="s">
        <v>55</v>
      </c>
      <c r="D75" s="164" t="s">
        <v>44</v>
      </c>
      <c r="E75" s="164">
        <v>1</v>
      </c>
      <c r="F75" s="176" t="s">
        <v>65</v>
      </c>
      <c r="G75" s="164">
        <v>2</v>
      </c>
      <c r="H75" s="165">
        <v>2</v>
      </c>
      <c r="I75" s="166">
        <v>0</v>
      </c>
      <c r="J75" s="151">
        <f t="shared" si="6"/>
        <v>2</v>
      </c>
      <c r="K75" s="151">
        <f t="shared" si="7"/>
        <v>2</v>
      </c>
      <c r="L75" s="186">
        <f t="shared" si="8"/>
        <v>4</v>
      </c>
      <c r="M75" s="173" t="s">
        <v>125</v>
      </c>
      <c r="N75" s="140"/>
    </row>
    <row r="76" spans="1:14" s="152" customFormat="1" hidden="1">
      <c r="A76" s="164">
        <v>74</v>
      </c>
      <c r="B76" s="164" t="s">
        <v>45</v>
      </c>
      <c r="C76" s="164" t="s">
        <v>55</v>
      </c>
      <c r="D76" s="164" t="s">
        <v>44</v>
      </c>
      <c r="E76" s="164">
        <v>1</v>
      </c>
      <c r="F76" s="176" t="s">
        <v>66</v>
      </c>
      <c r="G76" s="164">
        <v>3</v>
      </c>
      <c r="H76" s="165">
        <v>2</v>
      </c>
      <c r="I76" s="166">
        <v>0</v>
      </c>
      <c r="J76" s="151">
        <f t="shared" si="6"/>
        <v>3</v>
      </c>
      <c r="K76" s="151">
        <f t="shared" si="7"/>
        <v>2</v>
      </c>
      <c r="L76" s="186">
        <f t="shared" si="8"/>
        <v>5</v>
      </c>
      <c r="M76" s="173" t="s">
        <v>21</v>
      </c>
      <c r="N76" s="140"/>
    </row>
    <row r="77" spans="1:14" s="152" customFormat="1" hidden="1">
      <c r="A77" s="164">
        <v>75</v>
      </c>
      <c r="B77" s="164" t="s">
        <v>45</v>
      </c>
      <c r="C77" s="164" t="s">
        <v>55</v>
      </c>
      <c r="D77" s="164" t="s">
        <v>44</v>
      </c>
      <c r="E77" s="164">
        <v>1</v>
      </c>
      <c r="F77" s="176" t="s">
        <v>67</v>
      </c>
      <c r="G77" s="164">
        <v>3</v>
      </c>
      <c r="H77" s="165">
        <v>2</v>
      </c>
      <c r="I77" s="166">
        <v>0</v>
      </c>
      <c r="J77" s="151">
        <f t="shared" si="6"/>
        <v>3</v>
      </c>
      <c r="K77" s="151">
        <f t="shared" si="7"/>
        <v>2</v>
      </c>
      <c r="L77" s="186">
        <f t="shared" si="8"/>
        <v>5</v>
      </c>
      <c r="M77" s="173" t="s">
        <v>27</v>
      </c>
      <c r="N77" s="140"/>
    </row>
    <row r="78" spans="1:14" s="152" customFormat="1" hidden="1">
      <c r="A78" s="164">
        <v>76</v>
      </c>
      <c r="B78" s="164" t="s">
        <v>45</v>
      </c>
      <c r="C78" s="164" t="s">
        <v>55</v>
      </c>
      <c r="D78" s="164" t="s">
        <v>44</v>
      </c>
      <c r="E78" s="164">
        <v>1</v>
      </c>
      <c r="F78" s="176" t="s">
        <v>59</v>
      </c>
      <c r="G78" s="164">
        <v>2</v>
      </c>
      <c r="H78" s="165">
        <v>2</v>
      </c>
      <c r="I78" s="166">
        <v>0</v>
      </c>
      <c r="J78" s="151">
        <f t="shared" si="6"/>
        <v>2</v>
      </c>
      <c r="K78" s="151">
        <f t="shared" si="7"/>
        <v>2</v>
      </c>
      <c r="L78" s="186">
        <f t="shared" si="8"/>
        <v>4</v>
      </c>
      <c r="M78" s="173" t="s">
        <v>21</v>
      </c>
      <c r="N78" s="140"/>
    </row>
    <row r="79" spans="1:14" s="152" customFormat="1" hidden="1">
      <c r="A79" s="164">
        <v>77</v>
      </c>
      <c r="B79" s="164" t="s">
        <v>45</v>
      </c>
      <c r="C79" s="164" t="s">
        <v>55</v>
      </c>
      <c r="D79" s="164" t="s">
        <v>44</v>
      </c>
      <c r="E79" s="164">
        <v>1</v>
      </c>
      <c r="F79" s="176" t="s">
        <v>68</v>
      </c>
      <c r="G79" s="164">
        <v>2</v>
      </c>
      <c r="H79" s="165">
        <v>2</v>
      </c>
      <c r="I79" s="166">
        <v>0</v>
      </c>
      <c r="J79" s="151">
        <f t="shared" si="6"/>
        <v>2</v>
      </c>
      <c r="K79" s="151">
        <f t="shared" si="7"/>
        <v>2</v>
      </c>
      <c r="L79" s="186">
        <f t="shared" si="8"/>
        <v>4</v>
      </c>
      <c r="M79" s="173" t="s">
        <v>9</v>
      </c>
      <c r="N79" s="140"/>
    </row>
    <row r="80" spans="1:14" s="152" customFormat="1" hidden="1">
      <c r="A80" s="164">
        <v>78</v>
      </c>
      <c r="B80" s="164" t="s">
        <v>45</v>
      </c>
      <c r="C80" s="164" t="s">
        <v>55</v>
      </c>
      <c r="D80" s="164" t="s">
        <v>44</v>
      </c>
      <c r="E80" s="164">
        <v>1</v>
      </c>
      <c r="F80" s="176" t="s">
        <v>69</v>
      </c>
      <c r="G80" s="164">
        <v>2</v>
      </c>
      <c r="H80" s="165">
        <v>0</v>
      </c>
      <c r="I80" s="166">
        <v>0</v>
      </c>
      <c r="J80" s="151">
        <f t="shared" si="6"/>
        <v>2</v>
      </c>
      <c r="K80" s="151">
        <f t="shared" si="7"/>
        <v>0</v>
      </c>
      <c r="L80" s="188">
        <f t="shared" si="8"/>
        <v>2</v>
      </c>
      <c r="M80" s="173" t="s">
        <v>22</v>
      </c>
      <c r="N80" s="140"/>
    </row>
    <row r="81" spans="1:14" s="152" customFormat="1" hidden="1">
      <c r="A81" s="164">
        <v>79</v>
      </c>
      <c r="B81" s="164" t="s">
        <v>45</v>
      </c>
      <c r="C81" s="164" t="s">
        <v>55</v>
      </c>
      <c r="D81" s="164" t="s">
        <v>44</v>
      </c>
      <c r="E81" s="164">
        <v>1</v>
      </c>
      <c r="F81" s="176" t="s">
        <v>70</v>
      </c>
      <c r="G81" s="164">
        <v>2</v>
      </c>
      <c r="H81" s="165">
        <v>0</v>
      </c>
      <c r="I81" s="166">
        <v>1</v>
      </c>
      <c r="J81" s="151">
        <f t="shared" si="6"/>
        <v>2</v>
      </c>
      <c r="K81" s="151">
        <v>1</v>
      </c>
      <c r="L81" s="186">
        <f t="shared" si="8"/>
        <v>3</v>
      </c>
      <c r="M81" s="173" t="s">
        <v>26</v>
      </c>
      <c r="N81" s="140"/>
    </row>
    <row r="82" spans="1:14" s="102" customFormat="1" hidden="1">
      <c r="A82" s="125">
        <v>80</v>
      </c>
      <c r="B82" s="125" t="s">
        <v>71</v>
      </c>
      <c r="C82" s="125" t="s">
        <v>55</v>
      </c>
      <c r="D82" s="125" t="s">
        <v>34</v>
      </c>
      <c r="E82" s="125">
        <v>1</v>
      </c>
      <c r="F82" s="175" t="s">
        <v>56</v>
      </c>
      <c r="G82" s="125">
        <v>3</v>
      </c>
      <c r="H82" s="126">
        <v>0</v>
      </c>
      <c r="I82" s="127">
        <v>1</v>
      </c>
      <c r="J82" s="101">
        <f t="shared" si="6"/>
        <v>3</v>
      </c>
      <c r="K82" s="101">
        <v>1</v>
      </c>
      <c r="L82" s="186">
        <f t="shared" si="8"/>
        <v>4</v>
      </c>
      <c r="M82" s="173" t="s">
        <v>14</v>
      </c>
      <c r="N82" s="137"/>
    </row>
    <row r="83" spans="1:14" s="102" customFormat="1" hidden="1">
      <c r="A83" s="125">
        <v>81</v>
      </c>
      <c r="B83" s="125" t="s">
        <v>71</v>
      </c>
      <c r="C83" s="125" t="s">
        <v>55</v>
      </c>
      <c r="D83" s="125" t="s">
        <v>34</v>
      </c>
      <c r="E83" s="125">
        <v>1</v>
      </c>
      <c r="F83" s="175" t="s">
        <v>57</v>
      </c>
      <c r="G83" s="125">
        <v>3</v>
      </c>
      <c r="H83" s="126">
        <v>0</v>
      </c>
      <c r="I83" s="127">
        <v>0</v>
      </c>
      <c r="J83" s="101">
        <f t="shared" si="6"/>
        <v>3</v>
      </c>
      <c r="K83" s="101">
        <f t="shared" si="7"/>
        <v>0</v>
      </c>
      <c r="L83" s="186">
        <f t="shared" si="8"/>
        <v>3</v>
      </c>
      <c r="M83" s="173" t="s">
        <v>18</v>
      </c>
      <c r="N83" s="137"/>
    </row>
    <row r="84" spans="1:14" s="102" customFormat="1" hidden="1">
      <c r="A84" s="125">
        <v>82</v>
      </c>
      <c r="B84" s="125" t="s">
        <v>71</v>
      </c>
      <c r="C84" s="125" t="s">
        <v>55</v>
      </c>
      <c r="D84" s="125" t="s">
        <v>34</v>
      </c>
      <c r="E84" s="125">
        <v>1</v>
      </c>
      <c r="F84" s="175" t="s">
        <v>58</v>
      </c>
      <c r="G84" s="125">
        <v>2</v>
      </c>
      <c r="H84" s="126">
        <v>2</v>
      </c>
      <c r="I84" s="127">
        <v>0</v>
      </c>
      <c r="J84" s="101">
        <f t="shared" si="6"/>
        <v>2</v>
      </c>
      <c r="K84" s="101">
        <f t="shared" si="7"/>
        <v>2</v>
      </c>
      <c r="L84" s="186">
        <f t="shared" si="8"/>
        <v>4</v>
      </c>
      <c r="M84" s="173" t="s">
        <v>13</v>
      </c>
      <c r="N84" s="137"/>
    </row>
    <row r="85" spans="1:14" s="102" customFormat="1" hidden="1">
      <c r="A85" s="125">
        <v>83</v>
      </c>
      <c r="B85" s="125" t="s">
        <v>71</v>
      </c>
      <c r="C85" s="125" t="s">
        <v>55</v>
      </c>
      <c r="D85" s="125" t="s">
        <v>34</v>
      </c>
      <c r="E85" s="125">
        <v>1</v>
      </c>
      <c r="F85" s="175" t="s">
        <v>59</v>
      </c>
      <c r="G85" s="125">
        <v>2</v>
      </c>
      <c r="H85" s="126">
        <v>2</v>
      </c>
      <c r="I85" s="127">
        <v>0</v>
      </c>
      <c r="J85" s="101">
        <f t="shared" si="6"/>
        <v>2</v>
      </c>
      <c r="K85" s="101">
        <f t="shared" si="7"/>
        <v>2</v>
      </c>
      <c r="L85" s="186">
        <f t="shared" si="8"/>
        <v>4</v>
      </c>
      <c r="M85" s="173" t="s">
        <v>21</v>
      </c>
      <c r="N85" s="137"/>
    </row>
    <row r="86" spans="1:14" s="102" customFormat="1" hidden="1">
      <c r="A86" s="125">
        <v>84</v>
      </c>
      <c r="B86" s="125" t="s">
        <v>71</v>
      </c>
      <c r="C86" s="125" t="s">
        <v>55</v>
      </c>
      <c r="D86" s="125" t="s">
        <v>34</v>
      </c>
      <c r="E86" s="125">
        <v>1</v>
      </c>
      <c r="F86" s="175" t="s">
        <v>60</v>
      </c>
      <c r="G86" s="125">
        <v>3</v>
      </c>
      <c r="H86" s="126">
        <v>2</v>
      </c>
      <c r="I86" s="127">
        <v>0</v>
      </c>
      <c r="J86" s="101">
        <f t="shared" si="6"/>
        <v>3</v>
      </c>
      <c r="K86" s="101">
        <f t="shared" si="7"/>
        <v>2</v>
      </c>
      <c r="L86" s="186">
        <f t="shared" si="8"/>
        <v>5</v>
      </c>
      <c r="M86" s="173" t="s">
        <v>12</v>
      </c>
      <c r="N86" s="137"/>
    </row>
    <row r="87" spans="1:14" s="102" customFormat="1" hidden="1">
      <c r="A87" s="125">
        <v>85</v>
      </c>
      <c r="B87" s="125" t="s">
        <v>71</v>
      </c>
      <c r="C87" s="125" t="s">
        <v>55</v>
      </c>
      <c r="D87" s="125" t="s">
        <v>34</v>
      </c>
      <c r="E87" s="125">
        <v>1</v>
      </c>
      <c r="F87" s="175" t="s">
        <v>61</v>
      </c>
      <c r="G87" s="125">
        <v>2</v>
      </c>
      <c r="H87" s="126">
        <v>0</v>
      </c>
      <c r="I87" s="127">
        <v>1</v>
      </c>
      <c r="J87" s="101">
        <f t="shared" si="6"/>
        <v>2</v>
      </c>
      <c r="K87" s="101">
        <f t="shared" si="7"/>
        <v>0</v>
      </c>
      <c r="L87" s="186">
        <v>3</v>
      </c>
      <c r="M87" s="173" t="s">
        <v>15</v>
      </c>
      <c r="N87" s="137"/>
    </row>
    <row r="88" spans="1:14" s="102" customFormat="1" hidden="1">
      <c r="A88" s="125">
        <v>86</v>
      </c>
      <c r="B88" s="125" t="s">
        <v>71</v>
      </c>
      <c r="C88" s="125" t="s">
        <v>55</v>
      </c>
      <c r="D88" s="125" t="s">
        <v>34</v>
      </c>
      <c r="E88" s="125">
        <v>1</v>
      </c>
      <c r="F88" s="175" t="s">
        <v>62</v>
      </c>
      <c r="G88" s="125">
        <v>2</v>
      </c>
      <c r="H88" s="126">
        <v>2</v>
      </c>
      <c r="I88" s="127">
        <v>0</v>
      </c>
      <c r="J88" s="101">
        <f t="shared" si="6"/>
        <v>2</v>
      </c>
      <c r="K88" s="101">
        <f t="shared" si="7"/>
        <v>2</v>
      </c>
      <c r="L88" s="186">
        <f t="shared" si="8"/>
        <v>4</v>
      </c>
      <c r="M88" s="173" t="s">
        <v>20</v>
      </c>
      <c r="N88" s="137"/>
    </row>
    <row r="89" spans="1:14" s="102" customFormat="1" hidden="1">
      <c r="A89" s="125">
        <v>87</v>
      </c>
      <c r="B89" s="125" t="s">
        <v>71</v>
      </c>
      <c r="C89" s="125" t="s">
        <v>55</v>
      </c>
      <c r="D89" s="125" t="s">
        <v>34</v>
      </c>
      <c r="E89" s="125">
        <v>1</v>
      </c>
      <c r="F89" s="175" t="s">
        <v>63</v>
      </c>
      <c r="G89" s="125">
        <v>0</v>
      </c>
      <c r="H89" s="126">
        <v>2</v>
      </c>
      <c r="I89" s="127">
        <v>0</v>
      </c>
      <c r="J89" s="101">
        <f t="shared" si="6"/>
        <v>0</v>
      </c>
      <c r="K89" s="101">
        <f t="shared" si="7"/>
        <v>2</v>
      </c>
      <c r="L89" s="186">
        <f t="shared" si="8"/>
        <v>2</v>
      </c>
      <c r="M89" s="173" t="s">
        <v>129</v>
      </c>
      <c r="N89" s="137"/>
    </row>
    <row r="90" spans="1:14" s="102" customFormat="1" hidden="1">
      <c r="A90" s="125">
        <v>88</v>
      </c>
      <c r="B90" s="125" t="s">
        <v>71</v>
      </c>
      <c r="C90" s="125" t="s">
        <v>55</v>
      </c>
      <c r="D90" s="125"/>
      <c r="E90" s="125">
        <v>1</v>
      </c>
      <c r="F90" s="175" t="s">
        <v>64</v>
      </c>
      <c r="G90" s="125">
        <v>0</v>
      </c>
      <c r="H90" s="126">
        <v>2</v>
      </c>
      <c r="I90" s="127">
        <v>0</v>
      </c>
      <c r="J90" s="101">
        <f t="shared" si="6"/>
        <v>0</v>
      </c>
      <c r="K90" s="101">
        <f t="shared" si="7"/>
        <v>2</v>
      </c>
      <c r="L90" s="186">
        <f t="shared" si="8"/>
        <v>2</v>
      </c>
      <c r="M90" s="181" t="s">
        <v>16</v>
      </c>
      <c r="N90" s="137"/>
    </row>
    <row r="91" spans="1:14" s="114" customFormat="1" hidden="1">
      <c r="A91" s="110">
        <v>89</v>
      </c>
      <c r="B91" s="110" t="s">
        <v>72</v>
      </c>
      <c r="C91" s="110" t="s">
        <v>73</v>
      </c>
      <c r="D91" s="110" t="s">
        <v>34</v>
      </c>
      <c r="E91" s="110">
        <v>2</v>
      </c>
      <c r="F91" s="178" t="s">
        <v>74</v>
      </c>
      <c r="G91" s="110">
        <v>2</v>
      </c>
      <c r="H91" s="111">
        <v>2</v>
      </c>
      <c r="I91" s="112">
        <v>0</v>
      </c>
      <c r="J91" s="113">
        <f t="shared" si="6"/>
        <v>2</v>
      </c>
      <c r="K91" s="113">
        <f t="shared" si="7"/>
        <v>4</v>
      </c>
      <c r="L91" s="186">
        <v>6</v>
      </c>
      <c r="M91" s="173" t="s">
        <v>19</v>
      </c>
      <c r="N91" s="174" t="s">
        <v>152</v>
      </c>
    </row>
    <row r="92" spans="1:14" s="114" customFormat="1" hidden="1">
      <c r="A92" s="110">
        <v>90</v>
      </c>
      <c r="B92" s="110" t="s">
        <v>72</v>
      </c>
      <c r="C92" s="110" t="s">
        <v>73</v>
      </c>
      <c r="D92" s="110" t="s">
        <v>34</v>
      </c>
      <c r="E92" s="110">
        <v>2</v>
      </c>
      <c r="F92" s="178" t="s">
        <v>66</v>
      </c>
      <c r="G92" s="110">
        <v>2</v>
      </c>
      <c r="H92" s="111">
        <v>2</v>
      </c>
      <c r="I92" s="112">
        <v>0</v>
      </c>
      <c r="J92" s="113">
        <f t="shared" si="6"/>
        <v>2</v>
      </c>
      <c r="K92" s="113">
        <f t="shared" si="7"/>
        <v>4</v>
      </c>
      <c r="L92" s="186">
        <f t="shared" si="8"/>
        <v>6</v>
      </c>
      <c r="M92" s="173" t="s">
        <v>11</v>
      </c>
      <c r="N92" s="138"/>
    </row>
    <row r="93" spans="1:14" s="114" customFormat="1" hidden="1">
      <c r="A93" s="110">
        <v>91</v>
      </c>
      <c r="B93" s="110" t="s">
        <v>72</v>
      </c>
      <c r="C93" s="110" t="s">
        <v>73</v>
      </c>
      <c r="D93" s="110" t="s">
        <v>34</v>
      </c>
      <c r="E93" s="110">
        <v>2</v>
      </c>
      <c r="F93" s="178" t="s">
        <v>75</v>
      </c>
      <c r="G93" s="110">
        <v>2</v>
      </c>
      <c r="H93" s="111">
        <v>2</v>
      </c>
      <c r="I93" s="112">
        <v>0</v>
      </c>
      <c r="J93" s="113">
        <f t="shared" si="6"/>
        <v>2</v>
      </c>
      <c r="K93" s="113">
        <f t="shared" si="7"/>
        <v>4</v>
      </c>
      <c r="L93" s="186">
        <f t="shared" si="8"/>
        <v>6</v>
      </c>
      <c r="M93" s="173" t="s">
        <v>28</v>
      </c>
      <c r="N93" s="138"/>
    </row>
    <row r="94" spans="1:14" s="114" customFormat="1" hidden="1">
      <c r="A94" s="110">
        <v>92</v>
      </c>
      <c r="B94" s="110" t="s">
        <v>72</v>
      </c>
      <c r="C94" s="110" t="s">
        <v>73</v>
      </c>
      <c r="D94" s="115" t="s">
        <v>34</v>
      </c>
      <c r="E94" s="115">
        <v>1</v>
      </c>
      <c r="F94" s="177" t="s">
        <v>122</v>
      </c>
      <c r="G94" s="110">
        <v>2</v>
      </c>
      <c r="H94" s="111">
        <v>2</v>
      </c>
      <c r="I94" s="112">
        <v>0</v>
      </c>
      <c r="J94" s="113">
        <f t="shared" si="6"/>
        <v>2</v>
      </c>
      <c r="K94" s="113">
        <f t="shared" si="7"/>
        <v>2</v>
      </c>
      <c r="L94" s="186">
        <f t="shared" si="8"/>
        <v>4</v>
      </c>
      <c r="M94" s="173" t="s">
        <v>126</v>
      </c>
      <c r="N94" s="138"/>
    </row>
    <row r="95" spans="1:14" s="114" customFormat="1" hidden="1">
      <c r="A95" s="110">
        <v>94</v>
      </c>
      <c r="B95" s="110" t="s">
        <v>72</v>
      </c>
      <c r="C95" s="110" t="s">
        <v>73</v>
      </c>
      <c r="D95" s="115" t="s">
        <v>34</v>
      </c>
      <c r="E95" s="115">
        <v>1</v>
      </c>
      <c r="F95" s="177" t="s">
        <v>120</v>
      </c>
      <c r="G95" s="110">
        <v>2</v>
      </c>
      <c r="H95" s="111">
        <v>2</v>
      </c>
      <c r="I95" s="112">
        <v>0</v>
      </c>
      <c r="J95" s="113">
        <f t="shared" si="6"/>
        <v>2</v>
      </c>
      <c r="K95" s="113">
        <f t="shared" si="7"/>
        <v>2</v>
      </c>
      <c r="L95" s="186">
        <f t="shared" si="8"/>
        <v>4</v>
      </c>
      <c r="M95" s="173" t="s">
        <v>29</v>
      </c>
      <c r="N95" s="138"/>
    </row>
    <row r="96" spans="1:14" s="114" customFormat="1" hidden="1">
      <c r="A96" s="110"/>
      <c r="B96" s="110" t="s">
        <v>72</v>
      </c>
      <c r="C96" s="110" t="s">
        <v>73</v>
      </c>
      <c r="D96" s="115" t="s">
        <v>34</v>
      </c>
      <c r="E96" s="115">
        <v>1</v>
      </c>
      <c r="F96" s="177" t="s">
        <v>123</v>
      </c>
      <c r="G96" s="110">
        <v>2</v>
      </c>
      <c r="H96" s="111"/>
      <c r="I96" s="112"/>
      <c r="J96" s="113">
        <v>2</v>
      </c>
      <c r="K96" s="113">
        <v>2</v>
      </c>
      <c r="L96" s="186">
        <v>4</v>
      </c>
      <c r="M96" s="173" t="s">
        <v>128</v>
      </c>
      <c r="N96" s="138"/>
    </row>
    <row r="97" spans="1:14" s="114" customFormat="1" hidden="1">
      <c r="A97" s="110">
        <v>95</v>
      </c>
      <c r="B97" s="110" t="s">
        <v>72</v>
      </c>
      <c r="C97" s="110" t="s">
        <v>73</v>
      </c>
      <c r="D97" s="115" t="s">
        <v>34</v>
      </c>
      <c r="E97" s="115">
        <v>1</v>
      </c>
      <c r="F97" s="177" t="s">
        <v>121</v>
      </c>
      <c r="G97" s="110">
        <v>2</v>
      </c>
      <c r="H97" s="111">
        <v>2</v>
      </c>
      <c r="I97" s="112">
        <v>0</v>
      </c>
      <c r="J97" s="113">
        <f t="shared" si="6"/>
        <v>2</v>
      </c>
      <c r="K97" s="113">
        <f t="shared" si="7"/>
        <v>2</v>
      </c>
      <c r="L97" s="186">
        <v>6</v>
      </c>
      <c r="M97" s="173" t="s">
        <v>18</v>
      </c>
      <c r="N97" s="138"/>
    </row>
    <row r="98" spans="1:14" s="114" customFormat="1" hidden="1">
      <c r="A98" s="110">
        <v>98</v>
      </c>
      <c r="B98" s="110" t="s">
        <v>72</v>
      </c>
      <c r="C98" s="110" t="s">
        <v>73</v>
      </c>
      <c r="D98" s="110" t="s">
        <v>34</v>
      </c>
      <c r="E98" s="110">
        <v>2</v>
      </c>
      <c r="F98" s="178" t="s">
        <v>82</v>
      </c>
      <c r="G98" s="110">
        <v>0</v>
      </c>
      <c r="H98" s="111">
        <v>2</v>
      </c>
      <c r="I98" s="112">
        <v>0</v>
      </c>
      <c r="J98" s="113">
        <f t="shared" si="6"/>
        <v>0</v>
      </c>
      <c r="K98" s="113">
        <f t="shared" si="7"/>
        <v>4</v>
      </c>
      <c r="L98" s="188">
        <f t="shared" si="8"/>
        <v>4</v>
      </c>
      <c r="M98" s="173" t="s">
        <v>150</v>
      </c>
      <c r="N98" s="138"/>
    </row>
    <row r="99" spans="1:14" s="114" customFormat="1" hidden="1">
      <c r="A99" s="110"/>
      <c r="B99" s="110" t="s">
        <v>72</v>
      </c>
      <c r="C99" s="110" t="s">
        <v>73</v>
      </c>
      <c r="D99" s="110" t="s">
        <v>34</v>
      </c>
      <c r="E99" s="110"/>
      <c r="F99" s="178" t="s">
        <v>114</v>
      </c>
      <c r="G99" s="110">
        <v>2</v>
      </c>
      <c r="H99" s="111">
        <v>2</v>
      </c>
      <c r="I99" s="112">
        <v>0</v>
      </c>
      <c r="J99" s="113">
        <v>2</v>
      </c>
      <c r="K99" s="113">
        <v>4</v>
      </c>
      <c r="L99" s="186" t="s">
        <v>156</v>
      </c>
      <c r="M99" s="173" t="s">
        <v>157</v>
      </c>
      <c r="N99" s="138"/>
    </row>
    <row r="100" spans="1:14" s="114" customFormat="1" hidden="1">
      <c r="A100" s="110">
        <v>99</v>
      </c>
      <c r="B100" s="110" t="s">
        <v>72</v>
      </c>
      <c r="C100" s="110" t="s">
        <v>73</v>
      </c>
      <c r="D100" s="110" t="s">
        <v>34</v>
      </c>
      <c r="E100" s="110">
        <v>2</v>
      </c>
      <c r="F100" s="178" t="s">
        <v>115</v>
      </c>
      <c r="G100" s="110">
        <v>3</v>
      </c>
      <c r="H100" s="111" t="s">
        <v>83</v>
      </c>
      <c r="I100" s="112" t="s">
        <v>83</v>
      </c>
      <c r="J100" s="113">
        <f t="shared" si="6"/>
        <v>3</v>
      </c>
      <c r="K100" s="113" t="e">
        <f t="shared" si="7"/>
        <v>#VALUE!</v>
      </c>
      <c r="L100" s="186">
        <v>3</v>
      </c>
      <c r="M100" s="173" t="s">
        <v>23</v>
      </c>
      <c r="N100" s="138"/>
    </row>
    <row r="101" spans="1:14" s="114" customFormat="1" hidden="1">
      <c r="A101" s="110"/>
      <c r="B101" s="110" t="s">
        <v>72</v>
      </c>
      <c r="C101" s="110" t="s">
        <v>73</v>
      </c>
      <c r="D101" s="110" t="s">
        <v>34</v>
      </c>
      <c r="E101" s="110"/>
      <c r="F101" s="178" t="s">
        <v>116</v>
      </c>
      <c r="G101" s="110">
        <v>3</v>
      </c>
      <c r="H101" s="111"/>
      <c r="I101" s="112"/>
      <c r="J101" s="113"/>
      <c r="K101" s="113"/>
      <c r="L101" s="186">
        <v>3</v>
      </c>
      <c r="M101" s="181" t="s">
        <v>16</v>
      </c>
      <c r="N101" s="138"/>
    </row>
    <row r="102" spans="1:14" s="114" customFormat="1" hidden="1">
      <c r="A102" s="110">
        <v>100</v>
      </c>
      <c r="B102" s="110" t="s">
        <v>72</v>
      </c>
      <c r="C102" s="110" t="s">
        <v>73</v>
      </c>
      <c r="D102" s="110" t="s">
        <v>34</v>
      </c>
      <c r="E102" s="110">
        <v>2</v>
      </c>
      <c r="F102" s="178" t="s">
        <v>117</v>
      </c>
      <c r="G102" s="110">
        <v>3</v>
      </c>
      <c r="H102" s="111" t="s">
        <v>83</v>
      </c>
      <c r="I102" s="112" t="s">
        <v>83</v>
      </c>
      <c r="J102" s="113">
        <f t="shared" si="6"/>
        <v>3</v>
      </c>
      <c r="K102" s="113" t="e">
        <f t="shared" si="7"/>
        <v>#VALUE!</v>
      </c>
      <c r="L102" s="186">
        <v>3</v>
      </c>
      <c r="M102" s="173" t="s">
        <v>18</v>
      </c>
      <c r="N102" s="138"/>
    </row>
    <row r="103" spans="1:14" s="120" customFormat="1" hidden="1">
      <c r="A103" s="116">
        <v>101</v>
      </c>
      <c r="B103" s="116" t="s">
        <v>118</v>
      </c>
      <c r="C103" s="116" t="s">
        <v>73</v>
      </c>
      <c r="D103" s="116" t="s">
        <v>44</v>
      </c>
      <c r="E103" s="116">
        <v>2</v>
      </c>
      <c r="F103" s="179" t="s">
        <v>74</v>
      </c>
      <c r="G103" s="116">
        <v>2</v>
      </c>
      <c r="H103" s="117">
        <v>2</v>
      </c>
      <c r="I103" s="118">
        <v>0</v>
      </c>
      <c r="J103" s="119">
        <f t="shared" si="6"/>
        <v>2</v>
      </c>
      <c r="K103" s="119">
        <f t="shared" si="7"/>
        <v>4</v>
      </c>
      <c r="L103" s="186">
        <f t="shared" si="8"/>
        <v>6</v>
      </c>
      <c r="M103" s="173" t="s">
        <v>19</v>
      </c>
      <c r="N103" s="138"/>
    </row>
    <row r="104" spans="1:14" s="120" customFormat="1" hidden="1">
      <c r="A104" s="116">
        <v>102</v>
      </c>
      <c r="B104" s="116" t="s">
        <v>118</v>
      </c>
      <c r="C104" s="116" t="s">
        <v>73</v>
      </c>
      <c r="D104" s="116" t="s">
        <v>44</v>
      </c>
      <c r="E104" s="116">
        <v>2</v>
      </c>
      <c r="F104" s="179" t="s">
        <v>66</v>
      </c>
      <c r="G104" s="116">
        <v>2</v>
      </c>
      <c r="H104" s="117">
        <v>2</v>
      </c>
      <c r="I104" s="118">
        <v>0</v>
      </c>
      <c r="J104" s="119">
        <f t="shared" si="6"/>
        <v>2</v>
      </c>
      <c r="K104" s="119">
        <f t="shared" si="7"/>
        <v>4</v>
      </c>
      <c r="L104" s="186">
        <f t="shared" si="8"/>
        <v>6</v>
      </c>
      <c r="M104" s="173" t="s">
        <v>11</v>
      </c>
      <c r="N104" s="138"/>
    </row>
    <row r="105" spans="1:14" s="120" customFormat="1" hidden="1">
      <c r="A105" s="116">
        <v>103</v>
      </c>
      <c r="B105" s="116" t="s">
        <v>118</v>
      </c>
      <c r="C105" s="116" t="s">
        <v>73</v>
      </c>
      <c r="D105" s="116" t="s">
        <v>44</v>
      </c>
      <c r="E105" s="116">
        <v>2</v>
      </c>
      <c r="F105" s="179" t="s">
        <v>75</v>
      </c>
      <c r="G105" s="116">
        <v>2</v>
      </c>
      <c r="H105" s="117">
        <v>2</v>
      </c>
      <c r="I105" s="118">
        <v>0</v>
      </c>
      <c r="J105" s="119">
        <f t="shared" si="6"/>
        <v>2</v>
      </c>
      <c r="K105" s="119">
        <f t="shared" si="7"/>
        <v>4</v>
      </c>
      <c r="L105" s="186">
        <f t="shared" si="8"/>
        <v>6</v>
      </c>
      <c r="M105" s="173" t="s">
        <v>28</v>
      </c>
      <c r="N105" s="138"/>
    </row>
    <row r="106" spans="1:14" s="120" customFormat="1" hidden="1">
      <c r="A106" s="116">
        <v>104</v>
      </c>
      <c r="B106" s="116" t="s">
        <v>118</v>
      </c>
      <c r="C106" s="116" t="s">
        <v>73</v>
      </c>
      <c r="D106" s="121" t="s">
        <v>44</v>
      </c>
      <c r="E106" s="121">
        <v>2</v>
      </c>
      <c r="F106" s="177" t="s">
        <v>119</v>
      </c>
      <c r="G106" s="116"/>
      <c r="H106" s="117">
        <v>2</v>
      </c>
      <c r="I106" s="118">
        <v>0</v>
      </c>
      <c r="J106" s="119">
        <f t="shared" si="6"/>
        <v>0</v>
      </c>
      <c r="K106" s="119">
        <v>2</v>
      </c>
      <c r="L106" s="186">
        <v>2</v>
      </c>
      <c r="M106" s="173" t="s">
        <v>126</v>
      </c>
      <c r="N106" s="138"/>
    </row>
    <row r="107" spans="1:14" s="120" customFormat="1" hidden="1">
      <c r="A107" s="116">
        <v>106</v>
      </c>
      <c r="B107" s="116" t="s">
        <v>118</v>
      </c>
      <c r="C107" s="116" t="s">
        <v>73</v>
      </c>
      <c r="D107" s="121" t="s">
        <v>44</v>
      </c>
      <c r="E107" s="121">
        <v>2</v>
      </c>
      <c r="F107" s="177" t="s">
        <v>120</v>
      </c>
      <c r="G107" s="116">
        <v>0</v>
      </c>
      <c r="H107" s="117">
        <v>2</v>
      </c>
      <c r="I107" s="118">
        <v>0</v>
      </c>
      <c r="J107" s="119">
        <f t="shared" si="6"/>
        <v>0</v>
      </c>
      <c r="K107" s="119">
        <f t="shared" si="7"/>
        <v>4</v>
      </c>
      <c r="L107" s="186">
        <v>2</v>
      </c>
      <c r="M107" s="173" t="s">
        <v>29</v>
      </c>
      <c r="N107" s="138"/>
    </row>
    <row r="108" spans="1:14" s="120" customFormat="1" hidden="1">
      <c r="A108" s="116"/>
      <c r="B108" s="116"/>
      <c r="C108" s="116"/>
      <c r="D108" s="121"/>
      <c r="E108" s="121"/>
      <c r="F108" s="177" t="s">
        <v>123</v>
      </c>
      <c r="G108" s="116"/>
      <c r="H108" s="117"/>
      <c r="I108" s="118"/>
      <c r="J108" s="119"/>
      <c r="K108" s="119"/>
      <c r="L108" s="186"/>
      <c r="M108" s="173" t="s">
        <v>128</v>
      </c>
      <c r="N108" s="138"/>
    </row>
    <row r="109" spans="1:14" s="120" customFormat="1" hidden="1">
      <c r="A109" s="116">
        <v>107</v>
      </c>
      <c r="B109" s="116" t="s">
        <v>118</v>
      </c>
      <c r="C109" s="116" t="s">
        <v>73</v>
      </c>
      <c r="D109" s="121" t="s">
        <v>44</v>
      </c>
      <c r="E109" s="121">
        <v>2</v>
      </c>
      <c r="F109" s="177" t="s">
        <v>121</v>
      </c>
      <c r="G109" s="116">
        <v>2</v>
      </c>
      <c r="H109" s="117">
        <v>2</v>
      </c>
      <c r="I109" s="118">
        <v>0</v>
      </c>
      <c r="J109" s="119">
        <f t="shared" si="6"/>
        <v>2</v>
      </c>
      <c r="K109" s="119">
        <f t="shared" si="7"/>
        <v>4</v>
      </c>
      <c r="L109" s="186" t="s">
        <v>158</v>
      </c>
      <c r="M109" s="173" t="s">
        <v>18</v>
      </c>
      <c r="N109" s="138"/>
    </row>
    <row r="110" spans="1:14" s="120" customFormat="1" hidden="1">
      <c r="A110" s="116">
        <v>110</v>
      </c>
      <c r="B110" s="116" t="s">
        <v>118</v>
      </c>
      <c r="C110" s="116" t="s">
        <v>73</v>
      </c>
      <c r="D110" s="116" t="s">
        <v>44</v>
      </c>
      <c r="E110" s="116">
        <v>2</v>
      </c>
      <c r="F110" s="179" t="s">
        <v>82</v>
      </c>
      <c r="G110" s="116">
        <v>0</v>
      </c>
      <c r="H110" s="117">
        <v>2</v>
      </c>
      <c r="I110" s="118">
        <v>0</v>
      </c>
      <c r="J110" s="119">
        <f t="shared" si="6"/>
        <v>0</v>
      </c>
      <c r="K110" s="119">
        <f t="shared" si="7"/>
        <v>4</v>
      </c>
      <c r="L110" s="188">
        <f t="shared" si="8"/>
        <v>4</v>
      </c>
      <c r="M110" s="173" t="s">
        <v>127</v>
      </c>
      <c r="N110" s="138"/>
    </row>
    <row r="111" spans="1:14" s="120" customFormat="1" hidden="1">
      <c r="A111" s="116">
        <v>111</v>
      </c>
      <c r="B111" s="116" t="s">
        <v>118</v>
      </c>
      <c r="C111" s="116" t="s">
        <v>73</v>
      </c>
      <c r="D111" s="116" t="s">
        <v>44</v>
      </c>
      <c r="E111" s="116">
        <v>2</v>
      </c>
      <c r="F111" s="179" t="s">
        <v>114</v>
      </c>
      <c r="G111" s="116" t="s">
        <v>83</v>
      </c>
      <c r="H111" s="117" t="s">
        <v>83</v>
      </c>
      <c r="I111" s="118" t="s">
        <v>83</v>
      </c>
      <c r="J111" s="119" t="str">
        <f t="shared" si="6"/>
        <v>X</v>
      </c>
      <c r="K111" s="119" t="e">
        <f t="shared" si="7"/>
        <v>#VALUE!</v>
      </c>
      <c r="L111" s="119"/>
      <c r="M111" s="173"/>
      <c r="N111" s="138"/>
    </row>
    <row r="112" spans="1:14" s="120" customFormat="1" hidden="1">
      <c r="A112" s="116"/>
      <c r="B112" s="116" t="s">
        <v>118</v>
      </c>
      <c r="C112" s="116" t="s">
        <v>73</v>
      </c>
      <c r="D112" s="116" t="s">
        <v>44</v>
      </c>
      <c r="E112" s="116"/>
      <c r="F112" s="179" t="s">
        <v>115</v>
      </c>
      <c r="G112" s="116"/>
      <c r="H112" s="117"/>
      <c r="I112" s="118"/>
      <c r="J112" s="119"/>
      <c r="K112" s="119"/>
      <c r="L112" s="186"/>
      <c r="M112" s="173" t="s">
        <v>23</v>
      </c>
      <c r="N112" s="138"/>
    </row>
    <row r="113" spans="1:14" s="120" customFormat="1" hidden="1">
      <c r="A113" s="116">
        <v>112</v>
      </c>
      <c r="B113" s="116" t="s">
        <v>118</v>
      </c>
      <c r="C113" s="116" t="s">
        <v>73</v>
      </c>
      <c r="D113" s="116" t="s">
        <v>44</v>
      </c>
      <c r="E113" s="116">
        <v>2</v>
      </c>
      <c r="F113" s="179" t="s">
        <v>116</v>
      </c>
      <c r="G113" s="116" t="s">
        <v>83</v>
      </c>
      <c r="H113" s="117" t="s">
        <v>83</v>
      </c>
      <c r="I113" s="118" t="s">
        <v>83</v>
      </c>
      <c r="J113" s="119" t="str">
        <f t="shared" si="6"/>
        <v>X</v>
      </c>
      <c r="K113" s="119" t="e">
        <f t="shared" si="7"/>
        <v>#VALUE!</v>
      </c>
      <c r="L113" s="186"/>
      <c r="M113" s="181" t="s">
        <v>16</v>
      </c>
      <c r="N113" s="138"/>
    </row>
    <row r="114" spans="1:14" s="120" customFormat="1" hidden="1">
      <c r="A114" s="116"/>
      <c r="B114" s="116" t="s">
        <v>118</v>
      </c>
      <c r="C114" s="116" t="s">
        <v>73</v>
      </c>
      <c r="D114" s="116" t="s">
        <v>44</v>
      </c>
      <c r="E114" s="116"/>
      <c r="F114" s="179" t="s">
        <v>117</v>
      </c>
      <c r="G114" s="116"/>
      <c r="H114" s="117"/>
      <c r="I114" s="118"/>
      <c r="J114" s="119"/>
      <c r="K114" s="119"/>
      <c r="L114" s="186" t="s">
        <v>159</v>
      </c>
      <c r="M114" s="173" t="s">
        <v>18</v>
      </c>
      <c r="N114" s="138"/>
    </row>
    <row r="115" spans="1:14" s="114" customFormat="1" hidden="1">
      <c r="A115" s="110">
        <v>113</v>
      </c>
      <c r="B115" s="110" t="s">
        <v>45</v>
      </c>
      <c r="C115" s="110" t="s">
        <v>73</v>
      </c>
      <c r="D115" s="110" t="s">
        <v>34</v>
      </c>
      <c r="E115" s="110">
        <v>1</v>
      </c>
      <c r="F115" s="178" t="s">
        <v>77</v>
      </c>
      <c r="G115" s="110">
        <v>2</v>
      </c>
      <c r="H115" s="111">
        <v>2</v>
      </c>
      <c r="I115" s="112">
        <v>0</v>
      </c>
      <c r="J115" s="113">
        <f t="shared" si="6"/>
        <v>2</v>
      </c>
      <c r="K115" s="113">
        <f t="shared" si="7"/>
        <v>2</v>
      </c>
      <c r="L115" s="186">
        <f t="shared" si="8"/>
        <v>4</v>
      </c>
      <c r="M115" s="173" t="s">
        <v>126</v>
      </c>
      <c r="N115" s="138"/>
    </row>
    <row r="116" spans="1:14" s="114" customFormat="1" hidden="1">
      <c r="A116" s="110">
        <v>114</v>
      </c>
      <c r="B116" s="110" t="s">
        <v>45</v>
      </c>
      <c r="C116" s="110" t="s">
        <v>73</v>
      </c>
      <c r="D116" s="110" t="s">
        <v>34</v>
      </c>
      <c r="E116" s="110">
        <v>1</v>
      </c>
      <c r="F116" s="178" t="s">
        <v>84</v>
      </c>
      <c r="G116" s="110">
        <v>2</v>
      </c>
      <c r="H116" s="111">
        <v>2</v>
      </c>
      <c r="I116" s="112">
        <v>0</v>
      </c>
      <c r="J116" s="113">
        <f t="shared" si="6"/>
        <v>2</v>
      </c>
      <c r="K116" s="113">
        <f t="shared" si="7"/>
        <v>2</v>
      </c>
      <c r="L116" s="186">
        <f t="shared" si="8"/>
        <v>4</v>
      </c>
      <c r="M116" s="173" t="s">
        <v>20</v>
      </c>
      <c r="N116" s="138"/>
    </row>
    <row r="117" spans="1:14" s="114" customFormat="1" hidden="1">
      <c r="A117" s="110">
        <v>115</v>
      </c>
      <c r="B117" s="110" t="s">
        <v>45</v>
      </c>
      <c r="C117" s="110" t="s">
        <v>73</v>
      </c>
      <c r="D117" s="110" t="s">
        <v>34</v>
      </c>
      <c r="E117" s="110">
        <v>1</v>
      </c>
      <c r="F117" s="178" t="s">
        <v>85</v>
      </c>
      <c r="G117" s="110">
        <v>2</v>
      </c>
      <c r="H117" s="111">
        <v>2</v>
      </c>
      <c r="I117" s="112">
        <v>0</v>
      </c>
      <c r="J117" s="113">
        <f t="shared" si="6"/>
        <v>2</v>
      </c>
      <c r="K117" s="113">
        <f t="shared" si="7"/>
        <v>2</v>
      </c>
      <c r="L117" s="186">
        <f t="shared" si="8"/>
        <v>4</v>
      </c>
      <c r="M117" s="173" t="s">
        <v>21</v>
      </c>
      <c r="N117" s="138"/>
    </row>
    <row r="118" spans="1:14" s="114" customFormat="1" hidden="1">
      <c r="A118" s="110">
        <v>116</v>
      </c>
      <c r="B118" s="110" t="s">
        <v>45</v>
      </c>
      <c r="C118" s="110" t="s">
        <v>73</v>
      </c>
      <c r="D118" s="110" t="s">
        <v>34</v>
      </c>
      <c r="E118" s="110">
        <v>1</v>
      </c>
      <c r="F118" s="178" t="s">
        <v>86</v>
      </c>
      <c r="G118" s="110">
        <v>0</v>
      </c>
      <c r="H118" s="111">
        <v>2</v>
      </c>
      <c r="I118" s="112">
        <v>0</v>
      </c>
      <c r="J118" s="113">
        <f t="shared" si="6"/>
        <v>0</v>
      </c>
      <c r="K118" s="113">
        <f t="shared" si="7"/>
        <v>2</v>
      </c>
      <c r="L118" s="188">
        <f t="shared" si="8"/>
        <v>2</v>
      </c>
      <c r="M118" s="173" t="s">
        <v>127</v>
      </c>
      <c r="N118" s="138"/>
    </row>
    <row r="119" spans="1:14" s="114" customFormat="1" hidden="1">
      <c r="A119" s="110">
        <v>117</v>
      </c>
      <c r="B119" s="115" t="s">
        <v>45</v>
      </c>
      <c r="C119" s="115" t="s">
        <v>73</v>
      </c>
      <c r="D119" s="115" t="s">
        <v>34</v>
      </c>
      <c r="E119" s="115">
        <v>1</v>
      </c>
      <c r="F119" s="177" t="s">
        <v>87</v>
      </c>
      <c r="G119" s="110">
        <v>2</v>
      </c>
      <c r="H119" s="111">
        <v>2</v>
      </c>
      <c r="I119" s="112">
        <v>0</v>
      </c>
      <c r="J119" s="113">
        <f t="shared" si="6"/>
        <v>2</v>
      </c>
      <c r="K119" s="113">
        <f t="shared" si="7"/>
        <v>2</v>
      </c>
      <c r="L119" s="186">
        <f t="shared" si="8"/>
        <v>4</v>
      </c>
      <c r="M119" s="173" t="s">
        <v>126</v>
      </c>
      <c r="N119" s="138"/>
    </row>
    <row r="120" spans="1:14" s="114" customFormat="1" hidden="1">
      <c r="A120" s="110">
        <v>118</v>
      </c>
      <c r="B120" s="115" t="s">
        <v>45</v>
      </c>
      <c r="C120" s="115" t="s">
        <v>73</v>
      </c>
      <c r="D120" s="115" t="s">
        <v>34</v>
      </c>
      <c r="E120" s="115">
        <v>1</v>
      </c>
      <c r="F120" s="177" t="s">
        <v>88</v>
      </c>
      <c r="G120" s="110">
        <v>2</v>
      </c>
      <c r="H120" s="111">
        <v>2</v>
      </c>
      <c r="I120" s="112">
        <v>0</v>
      </c>
      <c r="J120" s="113">
        <f t="shared" si="6"/>
        <v>2</v>
      </c>
      <c r="K120" s="113">
        <f t="shared" si="7"/>
        <v>2</v>
      </c>
      <c r="L120" s="186">
        <f t="shared" si="8"/>
        <v>4</v>
      </c>
      <c r="M120" s="173" t="s">
        <v>12</v>
      </c>
      <c r="N120" s="138"/>
    </row>
    <row r="121" spans="1:14" s="114" customFormat="1" hidden="1">
      <c r="A121" s="110">
        <v>119</v>
      </c>
      <c r="B121" s="115" t="s">
        <v>45</v>
      </c>
      <c r="C121" s="115" t="s">
        <v>73</v>
      </c>
      <c r="D121" s="115" t="s">
        <v>34</v>
      </c>
      <c r="E121" s="115">
        <v>1</v>
      </c>
      <c r="F121" s="177" t="s">
        <v>89</v>
      </c>
      <c r="G121" s="110">
        <v>3</v>
      </c>
      <c r="H121" s="111">
        <v>0</v>
      </c>
      <c r="I121" s="112">
        <v>0</v>
      </c>
      <c r="J121" s="113">
        <f t="shared" si="6"/>
        <v>3</v>
      </c>
      <c r="K121" s="113">
        <f t="shared" si="7"/>
        <v>0</v>
      </c>
      <c r="L121" s="186">
        <f t="shared" si="8"/>
        <v>3</v>
      </c>
      <c r="M121" s="173" t="s">
        <v>107</v>
      </c>
      <c r="N121" s="138"/>
    </row>
    <row r="122" spans="1:14" s="114" customFormat="1" hidden="1">
      <c r="A122" s="110">
        <v>120</v>
      </c>
      <c r="B122" s="115" t="s">
        <v>45</v>
      </c>
      <c r="C122" s="115" t="s">
        <v>73</v>
      </c>
      <c r="D122" s="115" t="s">
        <v>34</v>
      </c>
      <c r="E122" s="115">
        <v>1</v>
      </c>
      <c r="F122" s="177" t="s">
        <v>90</v>
      </c>
      <c r="G122" s="110">
        <v>3</v>
      </c>
      <c r="H122" s="111">
        <v>0</v>
      </c>
      <c r="I122" s="112">
        <v>0</v>
      </c>
      <c r="J122" s="113">
        <f t="shared" si="6"/>
        <v>3</v>
      </c>
      <c r="K122" s="113">
        <f t="shared" si="7"/>
        <v>0</v>
      </c>
      <c r="L122" s="186">
        <f t="shared" si="8"/>
        <v>3</v>
      </c>
      <c r="M122" s="181" t="s">
        <v>16</v>
      </c>
      <c r="N122" s="138"/>
    </row>
    <row r="123" spans="1:14" s="109" customFormat="1" hidden="1">
      <c r="A123" s="122">
        <v>121</v>
      </c>
      <c r="B123" s="122" t="s">
        <v>71</v>
      </c>
      <c r="C123" s="122" t="s">
        <v>91</v>
      </c>
      <c r="D123" s="122" t="s">
        <v>34</v>
      </c>
      <c r="E123" s="122">
        <v>1</v>
      </c>
      <c r="F123" s="172" t="s">
        <v>92</v>
      </c>
      <c r="G123" s="122">
        <v>0</v>
      </c>
      <c r="H123" s="123">
        <v>10</v>
      </c>
      <c r="I123" s="124">
        <v>0</v>
      </c>
      <c r="J123" s="108">
        <f t="shared" si="6"/>
        <v>0</v>
      </c>
      <c r="K123" s="108">
        <f t="shared" si="7"/>
        <v>10</v>
      </c>
      <c r="L123" s="108"/>
      <c r="M123" s="173" t="s">
        <v>124</v>
      </c>
      <c r="N123" s="138"/>
    </row>
    <row r="124" spans="1:14" s="109" customFormat="1" hidden="1">
      <c r="A124" s="122">
        <v>123</v>
      </c>
      <c r="B124" s="122" t="s">
        <v>93</v>
      </c>
      <c r="C124" s="122" t="s">
        <v>91</v>
      </c>
      <c r="D124" s="122" t="s">
        <v>34</v>
      </c>
      <c r="E124" s="122">
        <v>1</v>
      </c>
      <c r="F124" s="172" t="s">
        <v>94</v>
      </c>
      <c r="G124" s="122">
        <v>2</v>
      </c>
      <c r="H124" s="123">
        <v>2</v>
      </c>
      <c r="I124" s="124">
        <v>0</v>
      </c>
      <c r="J124" s="108">
        <f t="shared" si="6"/>
        <v>2</v>
      </c>
      <c r="K124" s="108">
        <f t="shared" si="7"/>
        <v>2</v>
      </c>
      <c r="L124" s="186">
        <f t="shared" si="8"/>
        <v>4</v>
      </c>
      <c r="M124" s="173" t="s">
        <v>29</v>
      </c>
      <c r="N124" s="138"/>
    </row>
    <row r="125" spans="1:14" s="109" customFormat="1" hidden="1">
      <c r="A125" s="122">
        <v>125</v>
      </c>
      <c r="B125" s="122" t="s">
        <v>71</v>
      </c>
      <c r="C125" s="122" t="s">
        <v>91</v>
      </c>
      <c r="D125" s="122" t="s">
        <v>34</v>
      </c>
      <c r="E125" s="122">
        <v>1</v>
      </c>
      <c r="F125" s="172" t="s">
        <v>95</v>
      </c>
      <c r="G125" s="122">
        <v>3</v>
      </c>
      <c r="H125" s="123">
        <v>0</v>
      </c>
      <c r="I125" s="124">
        <v>0</v>
      </c>
      <c r="J125" s="108">
        <f t="shared" si="6"/>
        <v>3</v>
      </c>
      <c r="K125" s="108">
        <f t="shared" si="7"/>
        <v>0</v>
      </c>
      <c r="L125" s="186">
        <f t="shared" si="8"/>
        <v>3</v>
      </c>
      <c r="M125" s="173" t="s">
        <v>9</v>
      </c>
      <c r="N125" s="138"/>
    </row>
    <row r="126" spans="1:14" s="109" customFormat="1" hidden="1">
      <c r="A126" s="122">
        <v>126</v>
      </c>
      <c r="B126" s="122" t="s">
        <v>71</v>
      </c>
      <c r="C126" s="122" t="s">
        <v>91</v>
      </c>
      <c r="D126" s="122" t="s">
        <v>34</v>
      </c>
      <c r="E126" s="122">
        <v>1</v>
      </c>
      <c r="F126" s="172" t="s">
        <v>96</v>
      </c>
      <c r="G126" s="122">
        <v>2</v>
      </c>
      <c r="H126" s="123">
        <v>0</v>
      </c>
      <c r="I126" s="124">
        <v>0</v>
      </c>
      <c r="J126" s="108">
        <f t="shared" si="6"/>
        <v>2</v>
      </c>
      <c r="K126" s="108">
        <f t="shared" si="7"/>
        <v>0</v>
      </c>
      <c r="L126" s="186">
        <f t="shared" si="8"/>
        <v>2</v>
      </c>
      <c r="M126" s="173" t="s">
        <v>151</v>
      </c>
      <c r="N126" s="138"/>
    </row>
    <row r="127" spans="1:14" s="109" customFormat="1" hidden="1">
      <c r="A127" s="122">
        <v>127</v>
      </c>
      <c r="B127" s="122" t="s">
        <v>71</v>
      </c>
      <c r="C127" s="122" t="s">
        <v>91</v>
      </c>
      <c r="D127" s="122" t="s">
        <v>34</v>
      </c>
      <c r="E127" s="122">
        <v>1</v>
      </c>
      <c r="F127" s="172" t="s">
        <v>97</v>
      </c>
      <c r="G127" s="122">
        <v>3</v>
      </c>
      <c r="H127" s="123">
        <v>0</v>
      </c>
      <c r="I127" s="124">
        <v>0</v>
      </c>
      <c r="J127" s="108">
        <f t="shared" si="6"/>
        <v>3</v>
      </c>
      <c r="K127" s="108">
        <f t="shared" si="7"/>
        <v>0</v>
      </c>
      <c r="L127" s="188">
        <f t="shared" si="8"/>
        <v>3</v>
      </c>
      <c r="M127" s="173" t="s">
        <v>22</v>
      </c>
      <c r="N127" s="138"/>
    </row>
    <row r="128" spans="1:14" s="109" customFormat="1" hidden="1">
      <c r="A128" s="122">
        <v>128</v>
      </c>
      <c r="B128" s="122" t="s">
        <v>71</v>
      </c>
      <c r="C128" s="122" t="s">
        <v>91</v>
      </c>
      <c r="D128" s="122" t="s">
        <v>34</v>
      </c>
      <c r="E128" s="122">
        <v>1</v>
      </c>
      <c r="F128" s="172" t="s">
        <v>98</v>
      </c>
      <c r="G128" s="122">
        <v>2</v>
      </c>
      <c r="H128" s="123">
        <v>0</v>
      </c>
      <c r="I128" s="124">
        <v>0</v>
      </c>
      <c r="J128" s="108">
        <f t="shared" si="6"/>
        <v>2</v>
      </c>
      <c r="K128" s="108">
        <f t="shared" si="7"/>
        <v>0</v>
      </c>
      <c r="L128" s="186">
        <f t="shared" si="8"/>
        <v>2</v>
      </c>
      <c r="M128" s="173" t="s">
        <v>30</v>
      </c>
      <c r="N128" s="138"/>
    </row>
    <row r="129" spans="1:14" s="109" customFormat="1" hidden="1">
      <c r="A129" s="122">
        <v>129</v>
      </c>
      <c r="B129" s="122" t="s">
        <v>71</v>
      </c>
      <c r="C129" s="122" t="s">
        <v>91</v>
      </c>
      <c r="D129" s="122" t="s">
        <v>34</v>
      </c>
      <c r="E129" s="122">
        <v>1</v>
      </c>
      <c r="F129" s="172" t="s">
        <v>99</v>
      </c>
      <c r="G129" s="122">
        <v>2</v>
      </c>
      <c r="H129" s="123">
        <v>0</v>
      </c>
      <c r="I129" s="124">
        <v>0</v>
      </c>
      <c r="J129" s="108">
        <f t="shared" si="6"/>
        <v>2</v>
      </c>
      <c r="K129" s="108">
        <f t="shared" si="7"/>
        <v>0</v>
      </c>
      <c r="L129" s="186">
        <f t="shared" si="8"/>
        <v>2</v>
      </c>
      <c r="M129" s="173" t="s">
        <v>145</v>
      </c>
      <c r="N129" s="138"/>
    </row>
    <row r="130" spans="1:14" s="109" customFormat="1" hidden="1">
      <c r="A130" s="122">
        <v>130</v>
      </c>
      <c r="B130" s="122" t="s">
        <v>71</v>
      </c>
      <c r="C130" s="122" t="s">
        <v>91</v>
      </c>
      <c r="D130" s="122" t="s">
        <v>34</v>
      </c>
      <c r="E130" s="122">
        <v>1</v>
      </c>
      <c r="F130" s="172" t="s">
        <v>100</v>
      </c>
      <c r="G130" s="122">
        <v>2</v>
      </c>
      <c r="H130" s="123">
        <v>0</v>
      </c>
      <c r="I130" s="124">
        <v>0</v>
      </c>
      <c r="J130" s="108">
        <f t="shared" si="6"/>
        <v>2</v>
      </c>
      <c r="K130" s="108">
        <f t="shared" si="7"/>
        <v>0</v>
      </c>
      <c r="L130" s="186">
        <f t="shared" si="8"/>
        <v>2</v>
      </c>
      <c r="M130" s="173" t="s">
        <v>30</v>
      </c>
      <c r="N130" s="138"/>
    </row>
    <row r="131" spans="1:14" s="109" customFormat="1" hidden="1">
      <c r="A131" s="122">
        <v>131</v>
      </c>
      <c r="B131" s="122" t="s">
        <v>71</v>
      </c>
      <c r="C131" s="122" t="s">
        <v>91</v>
      </c>
      <c r="D131" s="122" t="s">
        <v>34</v>
      </c>
      <c r="E131" s="122">
        <v>1</v>
      </c>
      <c r="F131" s="172" t="s">
        <v>101</v>
      </c>
      <c r="G131" s="122">
        <v>2</v>
      </c>
      <c r="H131" s="123">
        <v>0</v>
      </c>
      <c r="I131" s="124">
        <v>0</v>
      </c>
      <c r="J131" s="108">
        <f t="shared" si="6"/>
        <v>2</v>
      </c>
      <c r="K131" s="108">
        <f t="shared" si="7"/>
        <v>0</v>
      </c>
      <c r="L131" s="186">
        <f t="shared" si="8"/>
        <v>2</v>
      </c>
      <c r="M131" s="173" t="s">
        <v>30</v>
      </c>
      <c r="N131" s="138"/>
    </row>
    <row r="132" spans="1:14" s="109" customFormat="1" hidden="1">
      <c r="A132" s="122">
        <v>132</v>
      </c>
      <c r="B132" s="122" t="s">
        <v>71</v>
      </c>
      <c r="C132" s="122" t="s">
        <v>91</v>
      </c>
      <c r="D132" s="122" t="s">
        <v>34</v>
      </c>
      <c r="E132" s="122">
        <v>1</v>
      </c>
      <c r="F132" s="172" t="s">
        <v>102</v>
      </c>
      <c r="G132" s="122">
        <v>2</v>
      </c>
      <c r="H132" s="123">
        <v>0</v>
      </c>
      <c r="I132" s="124">
        <v>0</v>
      </c>
      <c r="J132" s="108">
        <f t="shared" si="6"/>
        <v>2</v>
      </c>
      <c r="K132" s="108">
        <f t="shared" si="7"/>
        <v>0</v>
      </c>
      <c r="L132" s="186">
        <f t="shared" si="8"/>
        <v>2</v>
      </c>
      <c r="M132" s="173" t="s">
        <v>25</v>
      </c>
      <c r="N132" s="138"/>
    </row>
    <row r="133" spans="1:14" s="109" customFormat="1" hidden="1">
      <c r="A133" s="122">
        <v>133</v>
      </c>
      <c r="B133" s="130" t="s">
        <v>71</v>
      </c>
      <c r="C133" s="130" t="s">
        <v>91</v>
      </c>
      <c r="D133" s="130" t="s">
        <v>34</v>
      </c>
      <c r="E133" s="130">
        <v>1</v>
      </c>
      <c r="F133" s="184" t="s">
        <v>103</v>
      </c>
      <c r="G133" s="130">
        <v>2</v>
      </c>
      <c r="H133" s="131">
        <v>0</v>
      </c>
      <c r="I133" s="132">
        <v>0</v>
      </c>
      <c r="J133" s="133">
        <f t="shared" si="6"/>
        <v>2</v>
      </c>
      <c r="K133" s="133">
        <f t="shared" si="7"/>
        <v>0</v>
      </c>
      <c r="L133" s="190">
        <f t="shared" si="8"/>
        <v>2</v>
      </c>
      <c r="M133" s="185" t="s">
        <v>128</v>
      </c>
      <c r="N133" s="138"/>
    </row>
    <row r="134" spans="1:14" ht="18.75" hidden="1" customHeight="1">
      <c r="B134" s="134" t="s">
        <v>71</v>
      </c>
      <c r="C134" s="134" t="s">
        <v>135</v>
      </c>
      <c r="D134" s="135"/>
      <c r="E134" s="135"/>
      <c r="F134" s="180" t="s">
        <v>136</v>
      </c>
      <c r="G134" s="134">
        <v>2</v>
      </c>
      <c r="H134" s="134">
        <v>0</v>
      </c>
      <c r="I134" s="134">
        <v>0</v>
      </c>
      <c r="J134" s="136">
        <f t="shared" si="6"/>
        <v>2</v>
      </c>
      <c r="K134" s="135"/>
      <c r="L134" s="187">
        <v>2</v>
      </c>
      <c r="M134" s="173" t="s">
        <v>16</v>
      </c>
    </row>
    <row r="135" spans="1:14" hidden="1">
      <c r="B135" s="134" t="s">
        <v>71</v>
      </c>
      <c r="C135" s="134" t="s">
        <v>135</v>
      </c>
      <c r="D135" s="135"/>
      <c r="E135" s="135"/>
      <c r="F135" s="180" t="s">
        <v>137</v>
      </c>
      <c r="G135" s="134">
        <v>2</v>
      </c>
      <c r="H135" s="134">
        <v>0</v>
      </c>
      <c r="I135" s="134">
        <v>0</v>
      </c>
      <c r="J135" s="135"/>
      <c r="K135" s="135"/>
      <c r="L135" s="187">
        <v>2</v>
      </c>
      <c r="M135" s="173" t="s">
        <v>9</v>
      </c>
    </row>
    <row r="136" spans="1:14" hidden="1">
      <c r="B136" s="134" t="s">
        <v>71</v>
      </c>
      <c r="C136" s="134" t="s">
        <v>135</v>
      </c>
      <c r="D136" s="135"/>
      <c r="E136" s="135"/>
      <c r="F136" s="180" t="s">
        <v>138</v>
      </c>
      <c r="G136" s="134">
        <v>2</v>
      </c>
      <c r="H136" s="134">
        <v>0</v>
      </c>
      <c r="I136" s="134">
        <v>0</v>
      </c>
      <c r="J136" s="135"/>
      <c r="K136" s="135"/>
      <c r="L136" s="189">
        <v>2</v>
      </c>
      <c r="M136" s="173" t="s">
        <v>160</v>
      </c>
    </row>
    <row r="137" spans="1:14" hidden="1">
      <c r="B137" s="134" t="s">
        <v>71</v>
      </c>
      <c r="C137" s="134" t="s">
        <v>135</v>
      </c>
      <c r="D137" s="135"/>
      <c r="E137" s="135"/>
      <c r="F137" s="180" t="s">
        <v>139</v>
      </c>
      <c r="G137" s="134">
        <v>2</v>
      </c>
      <c r="H137" s="134">
        <v>0</v>
      </c>
      <c r="I137" s="134">
        <v>0</v>
      </c>
      <c r="J137" s="135"/>
      <c r="K137" s="135"/>
      <c r="L137" s="187">
        <v>2</v>
      </c>
      <c r="M137" s="173" t="s">
        <v>11</v>
      </c>
    </row>
    <row r="138" spans="1:14" hidden="1">
      <c r="B138" s="134" t="s">
        <v>71</v>
      </c>
      <c r="C138" s="134" t="s">
        <v>135</v>
      </c>
      <c r="D138" s="135"/>
      <c r="E138" s="135"/>
      <c r="F138" s="180" t="s">
        <v>140</v>
      </c>
      <c r="G138" s="134">
        <v>2</v>
      </c>
      <c r="H138" s="134">
        <v>0</v>
      </c>
      <c r="I138" s="134">
        <v>0</v>
      </c>
      <c r="J138" s="135"/>
      <c r="K138" s="135"/>
      <c r="L138" s="187">
        <v>2</v>
      </c>
      <c r="M138" s="173" t="s">
        <v>11</v>
      </c>
    </row>
    <row r="139" spans="1:14" hidden="1">
      <c r="B139" s="134" t="s">
        <v>71</v>
      </c>
      <c r="C139" s="134" t="s">
        <v>135</v>
      </c>
      <c r="D139" s="135"/>
      <c r="E139" s="135"/>
      <c r="F139" s="180" t="s">
        <v>141</v>
      </c>
      <c r="G139" s="134">
        <v>2</v>
      </c>
      <c r="H139" s="134">
        <v>0</v>
      </c>
      <c r="I139" s="134">
        <v>0</v>
      </c>
      <c r="J139" s="135"/>
      <c r="K139" s="135"/>
      <c r="L139" s="189">
        <v>2</v>
      </c>
      <c r="M139" s="173" t="s">
        <v>22</v>
      </c>
    </row>
    <row r="140" spans="1:14" hidden="1">
      <c r="B140" s="134" t="s">
        <v>71</v>
      </c>
      <c r="C140" s="134" t="s">
        <v>135</v>
      </c>
      <c r="D140" s="135"/>
      <c r="E140" s="135"/>
      <c r="F140" s="180" t="s">
        <v>142</v>
      </c>
      <c r="G140" s="134">
        <v>2</v>
      </c>
      <c r="H140" s="134">
        <v>0</v>
      </c>
      <c r="I140" s="134">
        <v>0</v>
      </c>
      <c r="J140" s="135"/>
      <c r="K140" s="135"/>
      <c r="L140" s="189">
        <v>2</v>
      </c>
      <c r="M140" s="173" t="s">
        <v>22</v>
      </c>
    </row>
    <row r="141" spans="1:14" hidden="1">
      <c r="B141" s="134" t="s">
        <v>71</v>
      </c>
      <c r="C141" s="134" t="s">
        <v>135</v>
      </c>
      <c r="D141" s="135"/>
      <c r="E141" s="135"/>
      <c r="F141" s="180" t="s">
        <v>143</v>
      </c>
      <c r="G141" s="134">
        <v>2</v>
      </c>
      <c r="H141" s="134">
        <v>0</v>
      </c>
      <c r="I141" s="134">
        <v>0</v>
      </c>
      <c r="J141" s="135"/>
      <c r="K141" s="135"/>
      <c r="L141" s="187">
        <v>2</v>
      </c>
      <c r="M141" s="173" t="s">
        <v>10</v>
      </c>
    </row>
    <row r="142" spans="1:14" hidden="1">
      <c r="B142" s="134" t="s">
        <v>71</v>
      </c>
      <c r="C142" s="134" t="s">
        <v>135</v>
      </c>
      <c r="D142" s="135"/>
      <c r="E142" s="135"/>
      <c r="F142" s="180" t="s">
        <v>144</v>
      </c>
      <c r="G142" s="134">
        <v>2</v>
      </c>
      <c r="H142" s="134">
        <v>0</v>
      </c>
      <c r="I142" s="134">
        <v>0</v>
      </c>
      <c r="J142" s="135"/>
      <c r="K142" s="135"/>
      <c r="L142" s="189">
        <v>2</v>
      </c>
      <c r="M142" s="173" t="s">
        <v>155</v>
      </c>
    </row>
  </sheetData>
  <autoFilter ref="A1:N142" xr:uid="{00000000-0009-0000-0000-000000000000}">
    <filterColumn colId="1">
      <filters>
        <filter val="B.Tech"/>
      </filters>
    </filterColumn>
    <filterColumn colId="2">
      <filters>
        <filter val="II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1"/>
  <sheetViews>
    <sheetView topLeftCell="A97" zoomScaleNormal="100" workbookViewId="0">
      <selection activeCell="L123" sqref="L123"/>
    </sheetView>
  </sheetViews>
  <sheetFormatPr defaultRowHeight="14.4"/>
  <cols>
    <col min="2" max="2" width="11.33203125" bestFit="1" customWidth="1"/>
    <col min="6" max="6" width="43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26" t="s">
        <v>110</v>
      </c>
      <c r="K1" s="26" t="s">
        <v>111</v>
      </c>
      <c r="L1" s="26" t="s">
        <v>112</v>
      </c>
      <c r="M1" s="26" t="s">
        <v>105</v>
      </c>
      <c r="N1" s="26" t="s">
        <v>104</v>
      </c>
    </row>
    <row r="2" spans="1:14">
      <c r="A2" s="15">
        <v>70</v>
      </c>
      <c r="B2" s="15" t="s">
        <v>45</v>
      </c>
      <c r="C2" s="15" t="s">
        <v>55</v>
      </c>
      <c r="D2" s="15" t="s">
        <v>34</v>
      </c>
      <c r="E2" s="15">
        <v>2</v>
      </c>
      <c r="F2" s="15" t="s">
        <v>68</v>
      </c>
      <c r="G2" s="15">
        <v>2</v>
      </c>
      <c r="H2" s="16">
        <v>2</v>
      </c>
      <c r="I2" s="32">
        <v>0</v>
      </c>
      <c r="J2" s="27">
        <v>2</v>
      </c>
      <c r="K2" s="27">
        <v>4</v>
      </c>
      <c r="L2" s="27"/>
      <c r="M2" s="27">
        <v>6</v>
      </c>
      <c r="N2" s="37" t="s">
        <v>9</v>
      </c>
    </row>
    <row r="3" spans="1:14">
      <c r="A3" s="17">
        <v>77</v>
      </c>
      <c r="B3" s="17" t="s">
        <v>45</v>
      </c>
      <c r="C3" s="17" t="s">
        <v>55</v>
      </c>
      <c r="D3" s="17" t="s">
        <v>44</v>
      </c>
      <c r="E3" s="17">
        <v>1</v>
      </c>
      <c r="F3" s="17" t="s">
        <v>68</v>
      </c>
      <c r="G3" s="17">
        <v>2</v>
      </c>
      <c r="H3" s="18">
        <v>2</v>
      </c>
      <c r="I3" s="33">
        <v>0</v>
      </c>
      <c r="J3" s="27">
        <v>2</v>
      </c>
      <c r="K3" s="27">
        <v>2</v>
      </c>
      <c r="L3" s="27"/>
      <c r="M3" s="27">
        <v>4</v>
      </c>
      <c r="N3" s="37" t="s">
        <v>9</v>
      </c>
    </row>
    <row r="4" spans="1:14">
      <c r="A4" s="24">
        <v>125</v>
      </c>
      <c r="B4" s="24" t="s">
        <v>71</v>
      </c>
      <c r="C4" s="24" t="s">
        <v>91</v>
      </c>
      <c r="D4" s="24" t="s">
        <v>34</v>
      </c>
      <c r="E4" s="24">
        <v>1</v>
      </c>
      <c r="F4" s="24" t="s">
        <v>95</v>
      </c>
      <c r="G4" s="24">
        <v>3</v>
      </c>
      <c r="H4" s="25">
        <v>0</v>
      </c>
      <c r="I4" s="36">
        <v>0</v>
      </c>
      <c r="J4" s="27">
        <v>3</v>
      </c>
      <c r="K4" s="27">
        <v>0</v>
      </c>
      <c r="L4" s="27"/>
      <c r="M4" s="27">
        <v>3</v>
      </c>
      <c r="N4" s="37" t="s">
        <v>9</v>
      </c>
    </row>
    <row r="5" spans="1:14">
      <c r="J5">
        <f>SUM(J2:J4)</f>
        <v>7</v>
      </c>
      <c r="K5">
        <f>SUM(K2:K4)</f>
        <v>6</v>
      </c>
      <c r="M5">
        <f>SUM(M2:M4)</f>
        <v>13</v>
      </c>
      <c r="N5" s="38"/>
    </row>
    <row r="6" spans="1:14">
      <c r="A6" s="5">
        <v>2</v>
      </c>
      <c r="B6" s="5" t="s">
        <v>32</v>
      </c>
      <c r="C6" s="5" t="s">
        <v>33</v>
      </c>
      <c r="D6" s="5" t="s">
        <v>34</v>
      </c>
      <c r="E6" s="5">
        <v>2</v>
      </c>
      <c r="F6" s="5" t="s">
        <v>36</v>
      </c>
      <c r="G6" s="5">
        <v>2</v>
      </c>
      <c r="H6" s="6">
        <v>2</v>
      </c>
      <c r="I6" s="27">
        <v>0</v>
      </c>
      <c r="J6" s="27">
        <v>2</v>
      </c>
      <c r="K6" s="27">
        <v>4</v>
      </c>
      <c r="L6" s="27"/>
      <c r="M6" s="27">
        <v>6</v>
      </c>
      <c r="N6" s="37" t="s">
        <v>10</v>
      </c>
    </row>
    <row r="7" spans="1:14">
      <c r="A7" s="7">
        <v>11</v>
      </c>
      <c r="B7" s="7" t="s">
        <v>32</v>
      </c>
      <c r="C7" s="7" t="s">
        <v>33</v>
      </c>
      <c r="D7" s="7" t="s">
        <v>44</v>
      </c>
      <c r="E7" s="7">
        <v>2</v>
      </c>
      <c r="F7" s="7" t="s">
        <v>36</v>
      </c>
      <c r="G7" s="7">
        <v>2</v>
      </c>
      <c r="H7" s="8">
        <v>2</v>
      </c>
      <c r="I7" s="29">
        <v>0</v>
      </c>
      <c r="J7" s="27">
        <v>2</v>
      </c>
      <c r="K7" s="27">
        <v>4</v>
      </c>
      <c r="L7" s="27"/>
      <c r="M7" s="27">
        <v>6</v>
      </c>
      <c r="N7" s="37" t="s">
        <v>108</v>
      </c>
    </row>
    <row r="8" spans="1:14">
      <c r="A8" s="13">
        <v>39</v>
      </c>
      <c r="B8" s="13" t="s">
        <v>52</v>
      </c>
      <c r="C8" s="13" t="s">
        <v>33</v>
      </c>
      <c r="D8" s="13" t="s">
        <v>34</v>
      </c>
      <c r="E8" s="13">
        <v>2</v>
      </c>
      <c r="F8" s="13" t="s">
        <v>36</v>
      </c>
      <c r="G8" s="13">
        <v>2</v>
      </c>
      <c r="H8" s="14">
        <v>2</v>
      </c>
      <c r="I8" s="31">
        <v>0</v>
      </c>
      <c r="J8" s="27">
        <v>2</v>
      </c>
      <c r="K8" s="27">
        <v>4</v>
      </c>
      <c r="L8" s="27"/>
      <c r="M8" s="27">
        <v>6</v>
      </c>
      <c r="N8" s="37" t="s">
        <v>106</v>
      </c>
    </row>
    <row r="9" spans="1:14">
      <c r="J9">
        <f>SUM(J6:J8)</f>
        <v>6</v>
      </c>
      <c r="K9">
        <f>SUM(K6:K8)</f>
        <v>12</v>
      </c>
      <c r="M9">
        <f>SUM(M6:M8)</f>
        <v>18</v>
      </c>
      <c r="N9" s="38"/>
    </row>
    <row r="10" spans="1:14">
      <c r="A10" s="17">
        <v>74</v>
      </c>
      <c r="B10" s="17" t="s">
        <v>45</v>
      </c>
      <c r="C10" s="17" t="s">
        <v>55</v>
      </c>
      <c r="D10" s="17" t="s">
        <v>44</v>
      </c>
      <c r="E10" s="17">
        <v>1</v>
      </c>
      <c r="F10" s="17" t="s">
        <v>66</v>
      </c>
      <c r="G10" s="17">
        <v>3</v>
      </c>
      <c r="H10" s="18">
        <v>2</v>
      </c>
      <c r="I10" s="33">
        <v>0</v>
      </c>
      <c r="J10" s="27">
        <v>3</v>
      </c>
      <c r="K10" s="27">
        <v>2</v>
      </c>
      <c r="L10" s="27"/>
      <c r="M10" s="27">
        <v>5</v>
      </c>
      <c r="N10" s="37" t="s">
        <v>11</v>
      </c>
    </row>
    <row r="11" spans="1:14">
      <c r="A11" s="19">
        <v>90</v>
      </c>
      <c r="B11" s="19" t="s">
        <v>72</v>
      </c>
      <c r="C11" s="19" t="s">
        <v>73</v>
      </c>
      <c r="D11" s="19" t="s">
        <v>34</v>
      </c>
      <c r="E11" s="19">
        <v>2</v>
      </c>
      <c r="F11" s="19" t="s">
        <v>66</v>
      </c>
      <c r="G11" s="19">
        <v>2</v>
      </c>
      <c r="H11" s="20">
        <v>2</v>
      </c>
      <c r="I11" s="34">
        <v>0</v>
      </c>
      <c r="J11" s="27">
        <v>2</v>
      </c>
      <c r="K11" s="27">
        <v>4</v>
      </c>
      <c r="L11" s="27"/>
      <c r="M11" s="27">
        <v>6</v>
      </c>
      <c r="N11" s="37" t="s">
        <v>11</v>
      </c>
    </row>
    <row r="12" spans="1:14">
      <c r="A12" s="22">
        <v>102</v>
      </c>
      <c r="B12" s="22" t="s">
        <v>52</v>
      </c>
      <c r="C12" s="22" t="s">
        <v>73</v>
      </c>
      <c r="D12" s="22" t="s">
        <v>44</v>
      </c>
      <c r="E12" s="22">
        <v>2</v>
      </c>
      <c r="F12" s="22" t="s">
        <v>66</v>
      </c>
      <c r="G12" s="22">
        <v>2</v>
      </c>
      <c r="H12" s="23">
        <v>2</v>
      </c>
      <c r="I12" s="35">
        <v>0</v>
      </c>
      <c r="J12" s="27">
        <v>2</v>
      </c>
      <c r="K12" s="27">
        <v>4</v>
      </c>
      <c r="L12" s="27"/>
      <c r="M12" s="27">
        <v>6</v>
      </c>
      <c r="N12" s="37" t="s">
        <v>11</v>
      </c>
    </row>
    <row r="13" spans="1:14">
      <c r="J13">
        <f>SUM(J10:J12)</f>
        <v>7</v>
      </c>
      <c r="K13">
        <f>SUM(K10:K12)</f>
        <v>10</v>
      </c>
      <c r="M13">
        <f>SUM(M10:M12)</f>
        <v>17</v>
      </c>
      <c r="N13" s="38"/>
    </row>
    <row r="14" spans="1:14">
      <c r="A14" s="15">
        <v>52</v>
      </c>
      <c r="B14" s="15" t="s">
        <v>32</v>
      </c>
      <c r="C14" s="15" t="s">
        <v>55</v>
      </c>
      <c r="D14" s="15" t="s">
        <v>34</v>
      </c>
      <c r="E14" s="15">
        <v>2</v>
      </c>
      <c r="F14" s="15" t="s">
        <v>60</v>
      </c>
      <c r="G14" s="15">
        <v>3</v>
      </c>
      <c r="H14" s="16">
        <v>2</v>
      </c>
      <c r="I14" s="32">
        <v>0</v>
      </c>
      <c r="J14" s="27">
        <v>3</v>
      </c>
      <c r="K14" s="27">
        <v>4</v>
      </c>
      <c r="L14" s="27"/>
      <c r="M14" s="27">
        <v>7</v>
      </c>
      <c r="N14" s="37" t="s">
        <v>134</v>
      </c>
    </row>
    <row r="15" spans="1:14">
      <c r="A15" s="15">
        <v>84</v>
      </c>
      <c r="B15" s="15" t="s">
        <v>71</v>
      </c>
      <c r="C15" s="15" t="s">
        <v>55</v>
      </c>
      <c r="D15" s="15" t="s">
        <v>34</v>
      </c>
      <c r="E15" s="15">
        <v>1</v>
      </c>
      <c r="F15" s="15" t="s">
        <v>60</v>
      </c>
      <c r="G15" s="15">
        <v>3</v>
      </c>
      <c r="H15" s="16">
        <v>2</v>
      </c>
      <c r="I15" s="32">
        <v>0</v>
      </c>
      <c r="J15" s="27">
        <v>3</v>
      </c>
      <c r="K15" s="27">
        <v>2</v>
      </c>
      <c r="L15" s="27"/>
      <c r="M15" s="27">
        <v>5</v>
      </c>
      <c r="N15" s="37" t="s">
        <v>12</v>
      </c>
    </row>
    <row r="16" spans="1:14">
      <c r="A16" s="19">
        <v>118</v>
      </c>
      <c r="B16" s="21" t="s">
        <v>45</v>
      </c>
      <c r="C16" s="21" t="s">
        <v>73</v>
      </c>
      <c r="D16" s="21" t="s">
        <v>34</v>
      </c>
      <c r="E16" s="21">
        <v>1</v>
      </c>
      <c r="F16" s="21" t="s">
        <v>88</v>
      </c>
      <c r="G16" s="19">
        <v>2</v>
      </c>
      <c r="H16" s="20">
        <v>2</v>
      </c>
      <c r="I16" s="34">
        <v>0</v>
      </c>
      <c r="J16" s="27">
        <v>2</v>
      </c>
      <c r="K16" s="27">
        <v>2</v>
      </c>
      <c r="L16" s="27"/>
      <c r="M16" s="27">
        <v>4</v>
      </c>
      <c r="N16" s="37" t="s">
        <v>12</v>
      </c>
    </row>
    <row r="17" spans="1:14">
      <c r="J17">
        <f>SUM(J14:J16)</f>
        <v>8</v>
      </c>
      <c r="K17">
        <f>SUM(K14:K16)</f>
        <v>8</v>
      </c>
      <c r="M17">
        <f>SUM(M14:M16)</f>
        <v>16</v>
      </c>
    </row>
    <row r="18" spans="1:14">
      <c r="A18" s="15">
        <v>51</v>
      </c>
      <c r="B18" s="15" t="s">
        <v>32</v>
      </c>
      <c r="C18" s="15" t="s">
        <v>55</v>
      </c>
      <c r="D18" s="15" t="s">
        <v>34</v>
      </c>
      <c r="E18" s="15">
        <v>2</v>
      </c>
      <c r="F18" s="15" t="s">
        <v>59</v>
      </c>
      <c r="G18" s="15">
        <v>2</v>
      </c>
      <c r="H18" s="16">
        <v>2</v>
      </c>
      <c r="I18" s="32">
        <v>0</v>
      </c>
      <c r="J18" s="27">
        <v>2</v>
      </c>
      <c r="K18" s="27">
        <v>4</v>
      </c>
      <c r="L18" s="27"/>
      <c r="M18" s="27">
        <v>6</v>
      </c>
      <c r="N18" s="37" t="s">
        <v>13</v>
      </c>
    </row>
    <row r="19" spans="1:14">
      <c r="A19" s="17">
        <v>60</v>
      </c>
      <c r="B19" s="17" t="s">
        <v>32</v>
      </c>
      <c r="C19" s="17" t="s">
        <v>55</v>
      </c>
      <c r="D19" s="17" t="s">
        <v>44</v>
      </c>
      <c r="E19" s="17">
        <v>2</v>
      </c>
      <c r="F19" s="17" t="s">
        <v>59</v>
      </c>
      <c r="G19" s="17">
        <v>2</v>
      </c>
      <c r="H19" s="18">
        <v>2</v>
      </c>
      <c r="I19" s="33">
        <v>0</v>
      </c>
      <c r="J19" s="27">
        <v>2</v>
      </c>
      <c r="K19" s="27">
        <v>4</v>
      </c>
      <c r="L19" s="27"/>
      <c r="M19" s="27">
        <v>6</v>
      </c>
      <c r="N19" s="37" t="s">
        <v>13</v>
      </c>
    </row>
    <row r="20" spans="1:14">
      <c r="A20" s="15">
        <v>82</v>
      </c>
      <c r="B20" s="15" t="s">
        <v>71</v>
      </c>
      <c r="C20" s="15" t="s">
        <v>55</v>
      </c>
      <c r="D20" s="15" t="s">
        <v>34</v>
      </c>
      <c r="E20" s="15">
        <v>1</v>
      </c>
      <c r="F20" s="15" t="s">
        <v>58</v>
      </c>
      <c r="G20" s="15">
        <v>2</v>
      </c>
      <c r="H20" s="16">
        <v>2</v>
      </c>
      <c r="I20" s="32">
        <v>0</v>
      </c>
      <c r="J20" s="27">
        <v>2</v>
      </c>
      <c r="K20" s="27">
        <v>2</v>
      </c>
      <c r="L20" s="27"/>
      <c r="M20" s="27">
        <v>4</v>
      </c>
      <c r="N20" s="37" t="s">
        <v>13</v>
      </c>
    </row>
    <row r="21" spans="1:14">
      <c r="J21">
        <f>SUM(J18:J20)</f>
        <v>6</v>
      </c>
      <c r="K21">
        <f>SUM(K18:K20)</f>
        <v>10</v>
      </c>
      <c r="M21">
        <f>SUM(M18:M20)</f>
        <v>16</v>
      </c>
    </row>
    <row r="22" spans="1:14">
      <c r="A22" s="15">
        <v>48</v>
      </c>
      <c r="B22" s="15" t="s">
        <v>32</v>
      </c>
      <c r="C22" s="15" t="s">
        <v>55</v>
      </c>
      <c r="D22" s="15" t="s">
        <v>34</v>
      </c>
      <c r="E22" s="15">
        <v>2</v>
      </c>
      <c r="F22" s="15" t="s">
        <v>56</v>
      </c>
      <c r="G22" s="15">
        <v>3</v>
      </c>
      <c r="H22" s="16">
        <v>0</v>
      </c>
      <c r="I22" s="32">
        <v>1</v>
      </c>
      <c r="J22" s="27">
        <v>3</v>
      </c>
      <c r="K22" s="27">
        <v>0</v>
      </c>
      <c r="L22" s="27"/>
      <c r="M22" s="27">
        <v>3</v>
      </c>
      <c r="N22" s="39" t="s">
        <v>14</v>
      </c>
    </row>
    <row r="23" spans="1:14">
      <c r="A23" s="17">
        <v>57</v>
      </c>
      <c r="B23" s="17" t="s">
        <v>32</v>
      </c>
      <c r="C23" s="17" t="s">
        <v>55</v>
      </c>
      <c r="D23" s="17" t="s">
        <v>44</v>
      </c>
      <c r="E23" s="17">
        <v>2</v>
      </c>
      <c r="F23" s="17" t="s">
        <v>56</v>
      </c>
      <c r="G23" s="17">
        <v>3</v>
      </c>
      <c r="H23" s="18">
        <v>0</v>
      </c>
      <c r="I23" s="33">
        <v>1</v>
      </c>
      <c r="J23" s="27">
        <v>3</v>
      </c>
      <c r="K23" s="27">
        <v>0</v>
      </c>
      <c r="L23" s="27"/>
      <c r="M23" s="27">
        <v>3</v>
      </c>
      <c r="N23" s="39" t="s">
        <v>14</v>
      </c>
    </row>
    <row r="24" spans="1:14">
      <c r="A24" s="15">
        <v>72</v>
      </c>
      <c r="B24" s="15" t="s">
        <v>45</v>
      </c>
      <c r="C24" s="15" t="s">
        <v>55</v>
      </c>
      <c r="D24" s="15" t="s">
        <v>34</v>
      </c>
      <c r="E24" s="15">
        <v>2</v>
      </c>
      <c r="F24" s="15" t="s">
        <v>70</v>
      </c>
      <c r="G24" s="15">
        <v>2</v>
      </c>
      <c r="H24" s="16">
        <v>0</v>
      </c>
      <c r="I24" s="32">
        <v>1</v>
      </c>
      <c r="J24" s="27">
        <v>2</v>
      </c>
      <c r="K24" s="27">
        <v>0</v>
      </c>
      <c r="L24" s="27"/>
      <c r="M24" s="27">
        <v>2</v>
      </c>
      <c r="N24" s="39" t="s">
        <v>14</v>
      </c>
    </row>
    <row r="25" spans="1:14">
      <c r="A25" s="15">
        <v>80</v>
      </c>
      <c r="B25" s="15" t="s">
        <v>71</v>
      </c>
      <c r="C25" s="15" t="s">
        <v>55</v>
      </c>
      <c r="D25" s="15" t="s">
        <v>34</v>
      </c>
      <c r="E25" s="15">
        <v>1</v>
      </c>
      <c r="F25" s="15" t="s">
        <v>56</v>
      </c>
      <c r="G25" s="15">
        <v>3</v>
      </c>
      <c r="H25" s="16">
        <v>0</v>
      </c>
      <c r="I25" s="32">
        <v>1</v>
      </c>
      <c r="J25" s="27">
        <v>3</v>
      </c>
      <c r="K25" s="27">
        <v>0</v>
      </c>
      <c r="L25" s="27"/>
      <c r="M25" s="27">
        <v>3</v>
      </c>
      <c r="N25" s="39" t="s">
        <v>14</v>
      </c>
    </row>
    <row r="26" spans="1:14" s="54" customFormat="1">
      <c r="J26" s="54">
        <f>SUM(J22:J25)</f>
        <v>11</v>
      </c>
      <c r="K26" s="54">
        <f>SUM(K22:K25)</f>
        <v>0</v>
      </c>
      <c r="M26" s="54">
        <v>19</v>
      </c>
    </row>
    <row r="27" spans="1:14">
      <c r="A27" s="9">
        <v>23</v>
      </c>
      <c r="B27" s="9" t="s">
        <v>45</v>
      </c>
      <c r="C27" s="9" t="s">
        <v>33</v>
      </c>
      <c r="D27" s="9" t="s">
        <v>34</v>
      </c>
      <c r="E27" s="9">
        <v>2</v>
      </c>
      <c r="F27" s="10" t="s">
        <v>49</v>
      </c>
      <c r="G27" s="9">
        <v>1</v>
      </c>
      <c r="H27" s="11">
        <v>2</v>
      </c>
      <c r="I27" s="30">
        <v>0</v>
      </c>
      <c r="J27" s="27">
        <v>1</v>
      </c>
      <c r="K27" s="27">
        <v>4</v>
      </c>
      <c r="L27" s="27"/>
      <c r="M27" s="27">
        <v>5</v>
      </c>
      <c r="N27" s="37" t="s">
        <v>15</v>
      </c>
    </row>
    <row r="28" spans="1:14" s="46" customFormat="1">
      <c r="A28" s="42">
        <v>33</v>
      </c>
      <c r="B28" s="42" t="s">
        <v>45</v>
      </c>
      <c r="C28" s="42" t="s">
        <v>33</v>
      </c>
      <c r="D28" s="42" t="s">
        <v>44</v>
      </c>
      <c r="E28" s="42">
        <v>1</v>
      </c>
      <c r="F28" s="43" t="s">
        <v>49</v>
      </c>
      <c r="G28" s="42">
        <v>1</v>
      </c>
      <c r="H28" s="44">
        <v>2</v>
      </c>
      <c r="I28" s="45">
        <v>0</v>
      </c>
      <c r="J28" s="45">
        <v>1</v>
      </c>
      <c r="K28" s="45">
        <v>2</v>
      </c>
      <c r="L28" s="45"/>
      <c r="M28" s="45"/>
      <c r="N28" s="41"/>
    </row>
    <row r="29" spans="1:14">
      <c r="A29" s="15">
        <v>50</v>
      </c>
      <c r="B29" s="15" t="s">
        <v>32</v>
      </c>
      <c r="C29" s="15" t="s">
        <v>55</v>
      </c>
      <c r="D29" s="15" t="s">
        <v>34</v>
      </c>
      <c r="E29" s="15">
        <v>2</v>
      </c>
      <c r="F29" s="15" t="s">
        <v>58</v>
      </c>
      <c r="G29" s="15">
        <v>2</v>
      </c>
      <c r="H29" s="16">
        <v>2</v>
      </c>
      <c r="I29" s="32">
        <v>0</v>
      </c>
      <c r="J29" s="27">
        <v>2</v>
      </c>
      <c r="K29" s="27">
        <v>4</v>
      </c>
      <c r="L29" s="27"/>
      <c r="M29" s="27">
        <v>6</v>
      </c>
      <c r="N29" s="37" t="s">
        <v>15</v>
      </c>
    </row>
    <row r="30" spans="1:14">
      <c r="A30" s="17">
        <v>59</v>
      </c>
      <c r="B30" s="17" t="s">
        <v>32</v>
      </c>
      <c r="C30" s="17" t="s">
        <v>55</v>
      </c>
      <c r="D30" s="17" t="s">
        <v>44</v>
      </c>
      <c r="E30" s="17">
        <v>2</v>
      </c>
      <c r="F30" s="17" t="s">
        <v>58</v>
      </c>
      <c r="G30" s="17">
        <v>2</v>
      </c>
      <c r="H30" s="18">
        <v>2</v>
      </c>
      <c r="I30" s="33">
        <v>0</v>
      </c>
      <c r="J30" s="27">
        <v>2</v>
      </c>
      <c r="K30" s="27">
        <v>4</v>
      </c>
      <c r="L30" s="27"/>
      <c r="M30" s="27">
        <v>6</v>
      </c>
      <c r="N30" s="37" t="s">
        <v>15</v>
      </c>
    </row>
    <row r="31" spans="1:14">
      <c r="J31">
        <f>SUM(J27:J30)</f>
        <v>6</v>
      </c>
      <c r="K31">
        <f>SUM(K27:K30)</f>
        <v>14</v>
      </c>
      <c r="M31">
        <v>17</v>
      </c>
    </row>
    <row r="32" spans="1:14">
      <c r="A32" s="13">
        <v>45</v>
      </c>
      <c r="B32" s="13" t="s">
        <v>52</v>
      </c>
      <c r="C32" s="13" t="s">
        <v>33</v>
      </c>
      <c r="D32" s="13" t="s">
        <v>34</v>
      </c>
      <c r="E32" s="13">
        <v>2</v>
      </c>
      <c r="F32" s="13" t="s">
        <v>54</v>
      </c>
      <c r="G32" s="13">
        <v>2</v>
      </c>
      <c r="H32" s="14">
        <v>0</v>
      </c>
      <c r="I32" s="31">
        <v>0</v>
      </c>
      <c r="J32" s="27">
        <v>2</v>
      </c>
      <c r="K32" s="27">
        <v>0</v>
      </c>
      <c r="L32" s="27"/>
      <c r="M32" s="27">
        <v>2</v>
      </c>
      <c r="N32" s="37" t="s">
        <v>16</v>
      </c>
    </row>
    <row r="33" spans="1:14">
      <c r="A33" s="19">
        <v>120</v>
      </c>
      <c r="B33" s="21" t="s">
        <v>45</v>
      </c>
      <c r="C33" s="21" t="s">
        <v>73</v>
      </c>
      <c r="D33" s="21" t="s">
        <v>34</v>
      </c>
      <c r="E33" s="21">
        <v>1</v>
      </c>
      <c r="F33" s="21" t="s">
        <v>90</v>
      </c>
      <c r="G33" s="19">
        <v>3</v>
      </c>
      <c r="H33" s="20">
        <v>0</v>
      </c>
      <c r="I33" s="34">
        <v>0</v>
      </c>
      <c r="J33" s="27">
        <v>3</v>
      </c>
      <c r="K33" s="27">
        <v>0</v>
      </c>
      <c r="L33" s="27"/>
      <c r="M33" s="27">
        <v>6</v>
      </c>
      <c r="N33" s="37" t="s">
        <v>16</v>
      </c>
    </row>
    <row r="34" spans="1:14">
      <c r="A34" s="17">
        <v>65</v>
      </c>
      <c r="B34" s="17" t="s">
        <v>32</v>
      </c>
      <c r="C34" s="17" t="s">
        <v>55</v>
      </c>
      <c r="D34" s="17" t="s">
        <v>44</v>
      </c>
      <c r="E34" s="17">
        <v>2</v>
      </c>
      <c r="F34" s="17" t="s">
        <v>64</v>
      </c>
      <c r="G34" s="17">
        <v>0</v>
      </c>
      <c r="H34" s="18">
        <v>2</v>
      </c>
      <c r="I34" s="33">
        <v>0</v>
      </c>
      <c r="J34" s="27">
        <v>0</v>
      </c>
      <c r="K34" s="27">
        <v>4</v>
      </c>
      <c r="L34" s="27">
        <v>4</v>
      </c>
      <c r="M34" s="28"/>
      <c r="N34" s="38" t="s">
        <v>16</v>
      </c>
    </row>
    <row r="35" spans="1:14">
      <c r="A35" s="15">
        <v>88</v>
      </c>
      <c r="B35" s="15" t="s">
        <v>71</v>
      </c>
      <c r="C35" s="15" t="s">
        <v>55</v>
      </c>
      <c r="D35" s="15" t="s">
        <v>34</v>
      </c>
      <c r="E35" s="15">
        <v>1</v>
      </c>
      <c r="F35" s="15" t="s">
        <v>64</v>
      </c>
      <c r="G35" s="15">
        <v>0</v>
      </c>
      <c r="H35" s="16">
        <v>2</v>
      </c>
      <c r="I35" s="32">
        <v>0</v>
      </c>
      <c r="J35" s="27">
        <v>0</v>
      </c>
      <c r="K35" s="27">
        <v>2</v>
      </c>
      <c r="L35" s="27">
        <v>2</v>
      </c>
      <c r="M35" s="28"/>
      <c r="N35" s="38" t="s">
        <v>16</v>
      </c>
    </row>
    <row r="36" spans="1:14">
      <c r="A36" s="53"/>
      <c r="B36" s="53" t="s">
        <v>130</v>
      </c>
      <c r="C36" s="53" t="s">
        <v>83</v>
      </c>
      <c r="D36" s="53"/>
      <c r="E36" s="53"/>
      <c r="F36" s="53" t="s">
        <v>113</v>
      </c>
      <c r="G36" s="53">
        <v>2</v>
      </c>
      <c r="H36" s="53"/>
      <c r="I36" s="53"/>
      <c r="J36" s="40">
        <v>2</v>
      </c>
      <c r="K36" s="40"/>
      <c r="L36" s="40"/>
      <c r="N36" s="38" t="s">
        <v>16</v>
      </c>
    </row>
    <row r="37" spans="1:14">
      <c r="J37">
        <f ca="1">SUM(J32:J107)</f>
        <v>12</v>
      </c>
      <c r="K37">
        <f ca="1">SUM(K32:K107)</f>
        <v>0</v>
      </c>
      <c r="M37">
        <v>16</v>
      </c>
    </row>
    <row r="38" spans="1:14">
      <c r="A38" s="5">
        <v>1</v>
      </c>
      <c r="B38" s="5" t="s">
        <v>32</v>
      </c>
      <c r="C38" s="5" t="s">
        <v>33</v>
      </c>
      <c r="D38" s="5" t="s">
        <v>34</v>
      </c>
      <c r="E38" s="5">
        <v>2</v>
      </c>
      <c r="F38" s="5" t="s">
        <v>35</v>
      </c>
      <c r="G38" s="5">
        <v>3</v>
      </c>
      <c r="H38" s="6">
        <v>2</v>
      </c>
      <c r="I38" s="27">
        <v>0</v>
      </c>
      <c r="J38" s="27">
        <v>3</v>
      </c>
      <c r="K38" s="27">
        <v>4</v>
      </c>
      <c r="L38" s="27"/>
      <c r="M38" s="27">
        <v>7</v>
      </c>
      <c r="N38" s="39" t="s">
        <v>17</v>
      </c>
    </row>
    <row r="39" spans="1:14">
      <c r="A39" s="7">
        <v>10</v>
      </c>
      <c r="B39" s="7" t="s">
        <v>32</v>
      </c>
      <c r="C39" s="7" t="s">
        <v>33</v>
      </c>
      <c r="D39" s="7" t="s">
        <v>44</v>
      </c>
      <c r="E39" s="7">
        <v>2</v>
      </c>
      <c r="F39" s="7" t="s">
        <v>35</v>
      </c>
      <c r="G39" s="7">
        <v>3</v>
      </c>
      <c r="H39" s="8">
        <v>2</v>
      </c>
      <c r="I39" s="29">
        <v>0</v>
      </c>
      <c r="J39" s="27">
        <v>3</v>
      </c>
      <c r="K39" s="27">
        <v>4</v>
      </c>
      <c r="L39" s="27"/>
      <c r="M39" s="27">
        <v>7</v>
      </c>
      <c r="N39" s="39" t="s">
        <v>17</v>
      </c>
    </row>
    <row r="40" spans="1:14">
      <c r="A40" s="13"/>
      <c r="B40" s="13" t="s">
        <v>52</v>
      </c>
      <c r="C40" s="13" t="s">
        <v>33</v>
      </c>
      <c r="D40" s="13" t="s">
        <v>34</v>
      </c>
      <c r="E40" s="13">
        <v>2</v>
      </c>
      <c r="F40" s="13" t="s">
        <v>35</v>
      </c>
      <c r="G40" s="9">
        <v>3</v>
      </c>
      <c r="H40" s="11">
        <v>2</v>
      </c>
      <c r="I40" s="30">
        <v>0</v>
      </c>
      <c r="J40" s="27">
        <v>3</v>
      </c>
      <c r="K40" s="27">
        <v>4</v>
      </c>
      <c r="L40" s="27"/>
      <c r="M40" s="27">
        <v>7</v>
      </c>
      <c r="N40" s="39" t="s">
        <v>17</v>
      </c>
    </row>
    <row r="41" spans="1:14">
      <c r="J41">
        <f>SUM(J38:J40)</f>
        <v>9</v>
      </c>
      <c r="K41">
        <f>SUM(K38:K40)</f>
        <v>12</v>
      </c>
      <c r="M41">
        <f>SUM(M38:M40)</f>
        <v>21</v>
      </c>
      <c r="N41" s="54"/>
    </row>
    <row r="42" spans="1:14">
      <c r="A42" s="15">
        <v>49</v>
      </c>
      <c r="B42" s="15" t="s">
        <v>32</v>
      </c>
      <c r="C42" s="15" t="s">
        <v>55</v>
      </c>
      <c r="D42" s="15" t="s">
        <v>34</v>
      </c>
      <c r="E42" s="15">
        <v>2</v>
      </c>
      <c r="F42" s="15" t="s">
        <v>57</v>
      </c>
      <c r="G42" s="15">
        <v>3</v>
      </c>
      <c r="H42" s="16">
        <v>0</v>
      </c>
      <c r="I42" s="32">
        <v>0</v>
      </c>
      <c r="J42" s="27">
        <v>3</v>
      </c>
      <c r="K42" s="27">
        <v>0</v>
      </c>
      <c r="L42" s="27"/>
      <c r="M42" s="27">
        <v>3</v>
      </c>
      <c r="N42" s="37" t="s">
        <v>18</v>
      </c>
    </row>
    <row r="43" spans="1:14">
      <c r="A43" s="17">
        <v>58</v>
      </c>
      <c r="B43" s="17" t="s">
        <v>32</v>
      </c>
      <c r="C43" s="17" t="s">
        <v>55</v>
      </c>
      <c r="D43" s="17" t="s">
        <v>44</v>
      </c>
      <c r="E43" s="17">
        <v>2</v>
      </c>
      <c r="F43" s="17" t="s">
        <v>57</v>
      </c>
      <c r="G43" s="17">
        <v>3</v>
      </c>
      <c r="H43" s="18">
        <v>0</v>
      </c>
      <c r="I43" s="33">
        <v>0</v>
      </c>
      <c r="J43" s="27">
        <v>3</v>
      </c>
      <c r="K43" s="27">
        <v>0</v>
      </c>
      <c r="L43" s="27"/>
      <c r="M43" s="27">
        <v>3</v>
      </c>
      <c r="N43" s="37" t="s">
        <v>18</v>
      </c>
    </row>
    <row r="44" spans="1:14">
      <c r="A44" s="15">
        <v>81</v>
      </c>
      <c r="B44" s="15" t="s">
        <v>71</v>
      </c>
      <c r="C44" s="15" t="s">
        <v>55</v>
      </c>
      <c r="D44" s="15" t="s">
        <v>34</v>
      </c>
      <c r="E44" s="15">
        <v>1</v>
      </c>
      <c r="F44" s="15" t="s">
        <v>57</v>
      </c>
      <c r="G44" s="15">
        <v>3</v>
      </c>
      <c r="H44" s="16">
        <v>0</v>
      </c>
      <c r="I44" s="32">
        <v>0</v>
      </c>
      <c r="J44" s="27">
        <v>3</v>
      </c>
      <c r="K44" s="27">
        <v>0</v>
      </c>
      <c r="L44" s="27"/>
      <c r="M44" s="27">
        <v>3</v>
      </c>
      <c r="N44" s="37" t="s">
        <v>18</v>
      </c>
    </row>
    <row r="45" spans="1:14">
      <c r="A45" s="19">
        <v>95</v>
      </c>
      <c r="B45" s="19" t="s">
        <v>72</v>
      </c>
      <c r="C45" s="21" t="s">
        <v>80</v>
      </c>
      <c r="D45" s="21" t="s">
        <v>34</v>
      </c>
      <c r="E45" s="21">
        <v>1</v>
      </c>
      <c r="F45" s="21" t="s">
        <v>81</v>
      </c>
      <c r="G45" s="19">
        <v>2</v>
      </c>
      <c r="H45" s="20">
        <v>2</v>
      </c>
      <c r="I45" s="34">
        <v>0</v>
      </c>
      <c r="J45" s="27">
        <v>2</v>
      </c>
      <c r="K45" s="27">
        <v>2</v>
      </c>
      <c r="L45" s="27"/>
      <c r="M45" s="27">
        <v>4</v>
      </c>
      <c r="N45" s="37" t="s">
        <v>18</v>
      </c>
    </row>
    <row r="46" spans="1:14">
      <c r="A46" s="22">
        <v>107</v>
      </c>
      <c r="B46" s="21" t="s">
        <v>79</v>
      </c>
      <c r="C46" s="21" t="s">
        <v>80</v>
      </c>
      <c r="D46" s="21" t="s">
        <v>44</v>
      </c>
      <c r="E46" s="21">
        <v>2</v>
      </c>
      <c r="F46" s="21" t="s">
        <v>81</v>
      </c>
      <c r="G46" s="22">
        <v>2</v>
      </c>
      <c r="H46" s="23">
        <v>2</v>
      </c>
      <c r="I46" s="35">
        <v>0</v>
      </c>
      <c r="J46" s="27">
        <v>2</v>
      </c>
      <c r="K46" s="27">
        <v>4</v>
      </c>
      <c r="L46" s="27"/>
      <c r="M46" s="27">
        <v>6</v>
      </c>
      <c r="N46" s="37" t="s">
        <v>18</v>
      </c>
    </row>
    <row r="47" spans="1:14" s="54" customFormat="1">
      <c r="J47" s="54">
        <f>SUM(J42:J46)</f>
        <v>13</v>
      </c>
      <c r="K47" s="54">
        <f>SUM(K42:K46)</f>
        <v>6</v>
      </c>
      <c r="M47" s="54">
        <f>SUM(M42:M46)</f>
        <v>19</v>
      </c>
    </row>
    <row r="48" spans="1:14">
      <c r="A48" s="15">
        <v>53</v>
      </c>
      <c r="B48" s="15" t="s">
        <v>32</v>
      </c>
      <c r="C48" s="15" t="s">
        <v>55</v>
      </c>
      <c r="D48" s="15" t="s">
        <v>34</v>
      </c>
      <c r="E48" s="15">
        <v>2</v>
      </c>
      <c r="F48" s="15" t="s">
        <v>61</v>
      </c>
      <c r="G48" s="15">
        <v>2</v>
      </c>
      <c r="H48" s="16">
        <v>0</v>
      </c>
      <c r="I48" s="32">
        <v>1</v>
      </c>
      <c r="J48" s="27">
        <v>2</v>
      </c>
      <c r="K48" s="27">
        <v>0</v>
      </c>
      <c r="L48" s="27">
        <f>I48*E48</f>
        <v>2</v>
      </c>
      <c r="M48" s="27">
        <v>2</v>
      </c>
      <c r="N48" s="37" t="s">
        <v>19</v>
      </c>
    </row>
    <row r="49" spans="1:14">
      <c r="A49" s="17">
        <v>62</v>
      </c>
      <c r="B49" s="17" t="s">
        <v>32</v>
      </c>
      <c r="C49" s="17" t="s">
        <v>55</v>
      </c>
      <c r="D49" s="17" t="s">
        <v>44</v>
      </c>
      <c r="E49" s="17">
        <v>2</v>
      </c>
      <c r="F49" s="17" t="s">
        <v>61</v>
      </c>
      <c r="G49" s="17">
        <v>2</v>
      </c>
      <c r="H49" s="18">
        <v>0</v>
      </c>
      <c r="I49" s="33">
        <v>1</v>
      </c>
      <c r="J49" s="27">
        <v>2</v>
      </c>
      <c r="K49" s="27">
        <v>0</v>
      </c>
      <c r="L49" s="27">
        <f t="shared" ref="L49:L51" si="0">I49*E49</f>
        <v>2</v>
      </c>
      <c r="M49" s="27">
        <v>2</v>
      </c>
      <c r="N49" s="37" t="s">
        <v>19</v>
      </c>
    </row>
    <row r="50" spans="1:14">
      <c r="A50" s="15">
        <v>85</v>
      </c>
      <c r="B50" s="15" t="s">
        <v>71</v>
      </c>
      <c r="C50" s="15" t="s">
        <v>55</v>
      </c>
      <c r="D50" s="15" t="s">
        <v>34</v>
      </c>
      <c r="E50" s="15">
        <v>1</v>
      </c>
      <c r="F50" s="15" t="s">
        <v>61</v>
      </c>
      <c r="G50" s="15">
        <v>2</v>
      </c>
      <c r="H50" s="16">
        <v>0</v>
      </c>
      <c r="I50" s="32">
        <v>1</v>
      </c>
      <c r="J50" s="27">
        <v>2</v>
      </c>
      <c r="K50" s="27">
        <v>0</v>
      </c>
      <c r="L50" s="27">
        <f t="shared" si="0"/>
        <v>1</v>
      </c>
      <c r="M50" s="27">
        <v>2</v>
      </c>
      <c r="N50" s="37" t="s">
        <v>19</v>
      </c>
    </row>
    <row r="51" spans="1:14">
      <c r="A51" s="19">
        <v>89</v>
      </c>
      <c r="B51" s="19" t="s">
        <v>72</v>
      </c>
      <c r="C51" s="19" t="s">
        <v>73</v>
      </c>
      <c r="D51" s="19" t="s">
        <v>34</v>
      </c>
      <c r="E51" s="19">
        <v>2</v>
      </c>
      <c r="F51" s="19" t="s">
        <v>74</v>
      </c>
      <c r="G51" s="19">
        <v>2</v>
      </c>
      <c r="H51" s="20">
        <v>2</v>
      </c>
      <c r="I51" s="34">
        <v>0</v>
      </c>
      <c r="J51" s="27">
        <v>2</v>
      </c>
      <c r="K51" s="27">
        <v>4</v>
      </c>
      <c r="L51" s="27">
        <f t="shared" si="0"/>
        <v>0</v>
      </c>
      <c r="M51" s="27">
        <v>6</v>
      </c>
      <c r="N51" s="37" t="s">
        <v>19</v>
      </c>
    </row>
    <row r="52" spans="1:14">
      <c r="J52">
        <f>SUM(J48:J51)</f>
        <v>8</v>
      </c>
      <c r="K52">
        <f>SUM(K48:K51)</f>
        <v>4</v>
      </c>
      <c r="L52" s="27">
        <f>SUM(L48:L51)</f>
        <v>5</v>
      </c>
      <c r="M52" s="40">
        <v>17</v>
      </c>
    </row>
    <row r="53" spans="1:14">
      <c r="A53" s="15">
        <v>54</v>
      </c>
      <c r="B53" s="15" t="s">
        <v>32</v>
      </c>
      <c r="C53" s="15" t="s">
        <v>55</v>
      </c>
      <c r="D53" s="15" t="s">
        <v>34</v>
      </c>
      <c r="E53" s="15">
        <v>2</v>
      </c>
      <c r="F53" s="15" t="s">
        <v>62</v>
      </c>
      <c r="G53" s="15">
        <v>2</v>
      </c>
      <c r="H53" s="16">
        <v>2</v>
      </c>
      <c r="I53" s="32">
        <v>0</v>
      </c>
      <c r="J53" s="27">
        <v>2</v>
      </c>
      <c r="K53" s="27">
        <v>4</v>
      </c>
      <c r="L53" s="27"/>
      <c r="M53" s="27">
        <v>6</v>
      </c>
      <c r="N53" s="37" t="s">
        <v>20</v>
      </c>
    </row>
    <row r="54" spans="1:14">
      <c r="A54" s="17">
        <v>63</v>
      </c>
      <c r="B54" s="17" t="s">
        <v>32</v>
      </c>
      <c r="C54" s="17" t="s">
        <v>55</v>
      </c>
      <c r="D54" s="17" t="s">
        <v>44</v>
      </c>
      <c r="E54" s="17">
        <v>2</v>
      </c>
      <c r="F54" s="17" t="s">
        <v>62</v>
      </c>
      <c r="G54" s="17">
        <v>2</v>
      </c>
      <c r="H54" s="18">
        <v>2</v>
      </c>
      <c r="I54" s="33">
        <v>0</v>
      </c>
      <c r="J54" s="27">
        <v>2</v>
      </c>
      <c r="K54" s="27">
        <v>4</v>
      </c>
      <c r="L54" s="27"/>
      <c r="M54" s="27">
        <v>6</v>
      </c>
      <c r="N54" s="37" t="s">
        <v>20</v>
      </c>
    </row>
    <row r="55" spans="1:14">
      <c r="A55" s="15">
        <v>86</v>
      </c>
      <c r="B55" s="15" t="s">
        <v>71</v>
      </c>
      <c r="C55" s="15" t="s">
        <v>55</v>
      </c>
      <c r="D55" s="15" t="s">
        <v>34</v>
      </c>
      <c r="E55" s="15">
        <v>1</v>
      </c>
      <c r="F55" s="15" t="s">
        <v>62</v>
      </c>
      <c r="G55" s="15">
        <v>2</v>
      </c>
      <c r="H55" s="16">
        <v>2</v>
      </c>
      <c r="I55" s="32">
        <v>0</v>
      </c>
      <c r="J55" s="27">
        <v>2</v>
      </c>
      <c r="K55" s="27">
        <v>2</v>
      </c>
      <c r="L55" s="27"/>
      <c r="M55" s="27">
        <v>4</v>
      </c>
      <c r="N55" s="37" t="s">
        <v>20</v>
      </c>
    </row>
    <row r="56" spans="1:14">
      <c r="J56">
        <f>SUM(J53:J55)</f>
        <v>6</v>
      </c>
      <c r="K56">
        <f>SUM(K53:K55)</f>
        <v>10</v>
      </c>
      <c r="M56">
        <f>SUM(M53:M55)</f>
        <v>16</v>
      </c>
    </row>
    <row r="57" spans="1:14">
      <c r="A57" s="17">
        <v>76</v>
      </c>
      <c r="B57" s="17" t="s">
        <v>45</v>
      </c>
      <c r="C57" s="17" t="s">
        <v>55</v>
      </c>
      <c r="D57" s="17" t="s">
        <v>44</v>
      </c>
      <c r="E57" s="17">
        <v>1</v>
      </c>
      <c r="F57" s="17" t="s">
        <v>59</v>
      </c>
      <c r="G57" s="17">
        <v>2</v>
      </c>
      <c r="H57" s="18">
        <v>2</v>
      </c>
      <c r="I57" s="33">
        <v>0</v>
      </c>
      <c r="J57" s="27">
        <v>2</v>
      </c>
      <c r="K57" s="27">
        <v>2</v>
      </c>
      <c r="L57" s="27"/>
      <c r="M57" s="27">
        <v>4</v>
      </c>
      <c r="N57" s="37" t="s">
        <v>21</v>
      </c>
    </row>
    <row r="58" spans="1:14">
      <c r="A58" s="15">
        <v>83</v>
      </c>
      <c r="B58" s="15" t="s">
        <v>71</v>
      </c>
      <c r="C58" s="15" t="s">
        <v>55</v>
      </c>
      <c r="D58" s="15" t="s">
        <v>34</v>
      </c>
      <c r="E58" s="15">
        <v>1</v>
      </c>
      <c r="F58" s="15" t="s">
        <v>59</v>
      </c>
      <c r="G58" s="15">
        <v>2</v>
      </c>
      <c r="H58" s="16">
        <v>2</v>
      </c>
      <c r="I58" s="32">
        <v>0</v>
      </c>
      <c r="J58" s="27">
        <v>2</v>
      </c>
      <c r="K58" s="27">
        <v>2</v>
      </c>
      <c r="L58" s="27"/>
      <c r="M58" s="27">
        <v>4</v>
      </c>
      <c r="N58" s="37" t="s">
        <v>21</v>
      </c>
    </row>
    <row r="59" spans="1:14">
      <c r="A59" s="19">
        <v>115</v>
      </c>
      <c r="B59" s="19" t="s">
        <v>45</v>
      </c>
      <c r="C59" s="19" t="s">
        <v>73</v>
      </c>
      <c r="D59" s="19" t="s">
        <v>34</v>
      </c>
      <c r="E59" s="19">
        <v>1</v>
      </c>
      <c r="F59" s="19" t="s">
        <v>85</v>
      </c>
      <c r="G59" s="19">
        <v>2</v>
      </c>
      <c r="H59" s="20">
        <v>2</v>
      </c>
      <c r="I59" s="34">
        <v>0</v>
      </c>
      <c r="J59" s="27">
        <v>2</v>
      </c>
      <c r="K59" s="27">
        <v>2</v>
      </c>
      <c r="L59" s="27"/>
      <c r="M59" s="27">
        <v>4</v>
      </c>
      <c r="N59" s="37" t="s">
        <v>21</v>
      </c>
    </row>
    <row r="60" spans="1:14">
      <c r="J60">
        <f>SUM(J57:J59)</f>
        <v>6</v>
      </c>
      <c r="K60">
        <f>SUM(K57:K59)</f>
        <v>6</v>
      </c>
      <c r="M60">
        <f>SUM(M57:M59)</f>
        <v>12</v>
      </c>
    </row>
    <row r="61" spans="1:14">
      <c r="A61" s="9">
        <v>22</v>
      </c>
      <c r="B61" s="9" t="s">
        <v>45</v>
      </c>
      <c r="C61" s="9" t="s">
        <v>33</v>
      </c>
      <c r="D61" s="9" t="s">
        <v>34</v>
      </c>
      <c r="E61" s="9">
        <v>2</v>
      </c>
      <c r="F61" s="10" t="s">
        <v>48</v>
      </c>
      <c r="G61" s="9">
        <v>3</v>
      </c>
      <c r="H61" s="11">
        <v>0</v>
      </c>
      <c r="I61" s="30">
        <v>0</v>
      </c>
      <c r="J61" s="27">
        <v>3</v>
      </c>
      <c r="K61" s="27">
        <v>0</v>
      </c>
      <c r="L61" s="27"/>
      <c r="M61" s="27">
        <v>3</v>
      </c>
      <c r="N61" s="37" t="s">
        <v>22</v>
      </c>
    </row>
    <row r="62" spans="1:14">
      <c r="A62" s="5">
        <v>32</v>
      </c>
      <c r="B62" s="5" t="s">
        <v>45</v>
      </c>
      <c r="C62" s="5" t="s">
        <v>33</v>
      </c>
      <c r="D62" s="5" t="s">
        <v>44</v>
      </c>
      <c r="E62" s="5">
        <v>1</v>
      </c>
      <c r="F62" s="12" t="s">
        <v>48</v>
      </c>
      <c r="G62" s="5">
        <v>3</v>
      </c>
      <c r="H62" s="6">
        <v>0</v>
      </c>
      <c r="I62" s="27">
        <v>0</v>
      </c>
      <c r="J62" s="27">
        <v>3</v>
      </c>
      <c r="K62" s="27">
        <v>0</v>
      </c>
      <c r="L62" s="27"/>
      <c r="M62" s="27">
        <v>3</v>
      </c>
      <c r="N62" s="37" t="s">
        <v>22</v>
      </c>
    </row>
    <row r="63" spans="1:14">
      <c r="A63" s="15">
        <v>71</v>
      </c>
      <c r="B63" s="15" t="s">
        <v>45</v>
      </c>
      <c r="C63" s="15" t="s">
        <v>55</v>
      </c>
      <c r="D63" s="15" t="s">
        <v>34</v>
      </c>
      <c r="E63" s="15">
        <v>2</v>
      </c>
      <c r="F63" s="15" t="s">
        <v>69</v>
      </c>
      <c r="G63" s="15">
        <v>2</v>
      </c>
      <c r="H63" s="16">
        <v>0</v>
      </c>
      <c r="I63" s="32">
        <v>0</v>
      </c>
      <c r="J63" s="27">
        <v>2</v>
      </c>
      <c r="K63" s="27">
        <v>0</v>
      </c>
      <c r="L63" s="27"/>
      <c r="M63" s="27">
        <v>2</v>
      </c>
      <c r="N63" s="37" t="s">
        <v>22</v>
      </c>
    </row>
    <row r="64" spans="1:14">
      <c r="A64" s="17">
        <v>78</v>
      </c>
      <c r="B64" s="17" t="s">
        <v>45</v>
      </c>
      <c r="C64" s="17" t="s">
        <v>55</v>
      </c>
      <c r="D64" s="17" t="s">
        <v>44</v>
      </c>
      <c r="E64" s="17">
        <v>1</v>
      </c>
      <c r="F64" s="17" t="s">
        <v>69</v>
      </c>
      <c r="G64" s="17">
        <v>2</v>
      </c>
      <c r="H64" s="18">
        <v>0</v>
      </c>
      <c r="I64" s="33">
        <v>0</v>
      </c>
      <c r="J64" s="27">
        <v>2</v>
      </c>
      <c r="K64" s="27">
        <v>0</v>
      </c>
      <c r="L64" s="27"/>
      <c r="M64" s="27">
        <v>2</v>
      </c>
      <c r="N64" s="37" t="s">
        <v>22</v>
      </c>
    </row>
    <row r="65" spans="1:14">
      <c r="A65" s="24">
        <v>127</v>
      </c>
      <c r="B65" s="24" t="s">
        <v>71</v>
      </c>
      <c r="C65" s="24" t="s">
        <v>91</v>
      </c>
      <c r="D65" s="24" t="s">
        <v>34</v>
      </c>
      <c r="E65" s="24">
        <v>1</v>
      </c>
      <c r="F65" s="24" t="s">
        <v>97</v>
      </c>
      <c r="G65" s="24">
        <v>3</v>
      </c>
      <c r="H65" s="25">
        <v>0</v>
      </c>
      <c r="I65" s="36">
        <v>0</v>
      </c>
      <c r="J65" s="27">
        <v>3</v>
      </c>
      <c r="K65" s="27">
        <v>0</v>
      </c>
      <c r="L65" s="27"/>
      <c r="M65" s="27">
        <v>3</v>
      </c>
      <c r="N65" s="37" t="s">
        <v>22</v>
      </c>
    </row>
    <row r="66" spans="1:14">
      <c r="J66">
        <f>SUM(J61:J65)</f>
        <v>13</v>
      </c>
      <c r="K66">
        <f>SUM(K61:K65)</f>
        <v>0</v>
      </c>
      <c r="M66">
        <f>SUM(M61:M65)</f>
        <v>13</v>
      </c>
    </row>
    <row r="67" spans="1:14">
      <c r="A67" s="5">
        <v>6</v>
      </c>
      <c r="B67" s="5" t="s">
        <v>32</v>
      </c>
      <c r="C67" s="5" t="s">
        <v>33</v>
      </c>
      <c r="D67" s="5" t="s">
        <v>34</v>
      </c>
      <c r="E67" s="5">
        <v>2</v>
      </c>
      <c r="F67" s="5" t="s">
        <v>40</v>
      </c>
      <c r="G67" s="5">
        <v>1</v>
      </c>
      <c r="H67" s="6">
        <v>2</v>
      </c>
      <c r="I67" s="27">
        <v>0</v>
      </c>
      <c r="J67" s="27">
        <v>1</v>
      </c>
      <c r="K67" s="27">
        <v>4</v>
      </c>
      <c r="L67" s="27"/>
      <c r="M67" s="27">
        <v>5</v>
      </c>
      <c r="N67" s="37" t="s">
        <v>23</v>
      </c>
    </row>
    <row r="68" spans="1:14">
      <c r="A68" s="7">
        <v>15</v>
      </c>
      <c r="B68" s="7" t="s">
        <v>32</v>
      </c>
      <c r="C68" s="7" t="s">
        <v>33</v>
      </c>
      <c r="D68" s="7" t="s">
        <v>44</v>
      </c>
      <c r="E68" s="7">
        <v>2</v>
      </c>
      <c r="F68" s="7" t="s">
        <v>40</v>
      </c>
      <c r="G68" s="7">
        <v>1</v>
      </c>
      <c r="H68" s="8">
        <v>2</v>
      </c>
      <c r="I68" s="29">
        <v>0</v>
      </c>
      <c r="J68" s="27">
        <v>1</v>
      </c>
      <c r="K68" s="27">
        <v>4</v>
      </c>
      <c r="L68" s="27"/>
      <c r="M68" s="27">
        <v>5</v>
      </c>
      <c r="N68" s="37" t="s">
        <v>23</v>
      </c>
    </row>
    <row r="69" spans="1:14">
      <c r="A69" s="9">
        <v>24</v>
      </c>
      <c r="B69" s="9" t="s">
        <v>45</v>
      </c>
      <c r="C69" s="9" t="s">
        <v>33</v>
      </c>
      <c r="D69" s="9" t="s">
        <v>34</v>
      </c>
      <c r="E69" s="9">
        <v>2</v>
      </c>
      <c r="F69" s="10" t="s">
        <v>40</v>
      </c>
      <c r="G69" s="9">
        <v>1</v>
      </c>
      <c r="H69" s="11">
        <v>2</v>
      </c>
      <c r="I69" s="30">
        <v>0</v>
      </c>
      <c r="J69" s="27">
        <v>1</v>
      </c>
      <c r="K69" s="27">
        <v>4</v>
      </c>
      <c r="L69" s="27"/>
      <c r="M69" s="27">
        <v>5</v>
      </c>
      <c r="N69" s="37" t="s">
        <v>23</v>
      </c>
    </row>
    <row r="70" spans="1:14">
      <c r="A70" s="19">
        <v>119</v>
      </c>
      <c r="B70" s="21" t="s">
        <v>45</v>
      </c>
      <c r="C70" s="21" t="s">
        <v>73</v>
      </c>
      <c r="D70" s="21" t="s">
        <v>34</v>
      </c>
      <c r="E70" s="21">
        <v>1</v>
      </c>
      <c r="F70" s="21" t="s">
        <v>89</v>
      </c>
      <c r="G70" s="19">
        <v>3</v>
      </c>
      <c r="H70" s="20">
        <v>0</v>
      </c>
      <c r="I70" s="34">
        <v>0</v>
      </c>
      <c r="J70" s="27">
        <v>3</v>
      </c>
      <c r="K70" s="27">
        <v>0</v>
      </c>
      <c r="L70" s="27"/>
      <c r="M70" s="27">
        <v>3</v>
      </c>
      <c r="N70" s="37" t="s">
        <v>107</v>
      </c>
    </row>
    <row r="71" spans="1:14">
      <c r="J71">
        <f>SUM(J67:J70)</f>
        <v>6</v>
      </c>
      <c r="K71">
        <f>SUM(K67:K70)</f>
        <v>12</v>
      </c>
      <c r="M71">
        <f>SUM(M67:M70)</f>
        <v>18</v>
      </c>
    </row>
    <row r="72" spans="1:14">
      <c r="A72" s="5">
        <v>3</v>
      </c>
      <c r="B72" s="5" t="s">
        <v>32</v>
      </c>
      <c r="C72" s="5" t="s">
        <v>33</v>
      </c>
      <c r="D72" s="5" t="s">
        <v>34</v>
      </c>
      <c r="E72" s="5">
        <v>2</v>
      </c>
      <c r="F72" s="5" t="s">
        <v>37</v>
      </c>
      <c r="G72" s="5">
        <v>2</v>
      </c>
      <c r="H72" s="6">
        <v>0</v>
      </c>
      <c r="I72" s="27">
        <v>0</v>
      </c>
      <c r="J72" s="27">
        <v>2</v>
      </c>
      <c r="K72" s="27">
        <v>0</v>
      </c>
      <c r="L72" s="27"/>
      <c r="M72" s="27">
        <v>2</v>
      </c>
      <c r="N72" s="37" t="s">
        <v>24</v>
      </c>
    </row>
    <row r="73" spans="1:14">
      <c r="A73" s="5">
        <v>4</v>
      </c>
      <c r="B73" s="5" t="s">
        <v>32</v>
      </c>
      <c r="C73" s="5" t="s">
        <v>33</v>
      </c>
      <c r="D73" s="5" t="s">
        <v>34</v>
      </c>
      <c r="E73" s="5">
        <v>2</v>
      </c>
      <c r="F73" s="5" t="s">
        <v>38</v>
      </c>
      <c r="G73" s="5">
        <v>0</v>
      </c>
      <c r="H73" s="6">
        <v>2</v>
      </c>
      <c r="I73" s="27">
        <v>0</v>
      </c>
      <c r="J73" s="27">
        <v>0</v>
      </c>
      <c r="K73" s="27">
        <v>4</v>
      </c>
      <c r="L73" s="27"/>
      <c r="M73" s="27">
        <v>4</v>
      </c>
      <c r="N73" s="37" t="s">
        <v>24</v>
      </c>
    </row>
    <row r="74" spans="1:14">
      <c r="A74" s="7">
        <v>12</v>
      </c>
      <c r="B74" s="7" t="s">
        <v>32</v>
      </c>
      <c r="C74" s="7" t="s">
        <v>33</v>
      </c>
      <c r="D74" s="7" t="s">
        <v>44</v>
      </c>
      <c r="E74" s="7">
        <v>2</v>
      </c>
      <c r="F74" s="7" t="s">
        <v>37</v>
      </c>
      <c r="G74" s="7">
        <v>2</v>
      </c>
      <c r="H74" s="8">
        <v>0</v>
      </c>
      <c r="I74" s="29">
        <v>0</v>
      </c>
      <c r="J74" s="27">
        <v>2</v>
      </c>
      <c r="K74" s="27">
        <v>0</v>
      </c>
      <c r="L74" s="27"/>
      <c r="M74" s="27">
        <v>2</v>
      </c>
      <c r="N74" s="37" t="s">
        <v>24</v>
      </c>
    </row>
    <row r="75" spans="1:14">
      <c r="A75" s="7">
        <v>13</v>
      </c>
      <c r="B75" s="7" t="s">
        <v>32</v>
      </c>
      <c r="C75" s="7" t="s">
        <v>33</v>
      </c>
      <c r="D75" s="7" t="s">
        <v>44</v>
      </c>
      <c r="E75" s="7">
        <v>2</v>
      </c>
      <c r="F75" s="7" t="s">
        <v>38</v>
      </c>
      <c r="G75" s="7">
        <v>0</v>
      </c>
      <c r="H75" s="8">
        <v>2</v>
      </c>
      <c r="I75" s="29">
        <v>0</v>
      </c>
      <c r="J75" s="27">
        <v>0</v>
      </c>
      <c r="K75" s="27">
        <v>4</v>
      </c>
      <c r="L75" s="27"/>
      <c r="M75" s="27">
        <v>4</v>
      </c>
      <c r="N75" s="37" t="s">
        <v>24</v>
      </c>
    </row>
    <row r="76" spans="1:14">
      <c r="A76" s="13">
        <v>40</v>
      </c>
      <c r="B76" s="13" t="s">
        <v>52</v>
      </c>
      <c r="C76" s="13" t="s">
        <v>33</v>
      </c>
      <c r="D76" s="13" t="s">
        <v>34</v>
      </c>
      <c r="E76" s="13">
        <v>2</v>
      </c>
      <c r="F76" s="13" t="s">
        <v>37</v>
      </c>
      <c r="G76" s="13">
        <v>2</v>
      </c>
      <c r="H76" s="14">
        <v>0</v>
      </c>
      <c r="I76" s="31">
        <v>0</v>
      </c>
      <c r="J76" s="27">
        <v>2</v>
      </c>
      <c r="K76" s="27">
        <v>0</v>
      </c>
      <c r="L76" s="27"/>
      <c r="M76" s="27">
        <v>2</v>
      </c>
      <c r="N76" s="37" t="s">
        <v>24</v>
      </c>
    </row>
    <row r="77" spans="1:14">
      <c r="A77" s="13">
        <v>41</v>
      </c>
      <c r="B77" s="13" t="s">
        <v>52</v>
      </c>
      <c r="C77" s="13" t="s">
        <v>33</v>
      </c>
      <c r="D77" s="13" t="s">
        <v>34</v>
      </c>
      <c r="E77" s="13">
        <v>2</v>
      </c>
      <c r="F77" s="13" t="s">
        <v>38</v>
      </c>
      <c r="G77" s="13">
        <v>0</v>
      </c>
      <c r="H77" s="14">
        <v>2</v>
      </c>
      <c r="I77" s="31">
        <v>0</v>
      </c>
      <c r="J77" s="27">
        <v>0</v>
      </c>
      <c r="K77" s="27">
        <v>4</v>
      </c>
      <c r="L77" s="27"/>
      <c r="M77" s="27">
        <v>4</v>
      </c>
      <c r="N77" s="37" t="s">
        <v>24</v>
      </c>
    </row>
    <row r="78" spans="1:14">
      <c r="J78">
        <f>SUM(J72:J77)</f>
        <v>6</v>
      </c>
      <c r="K78">
        <f>SUM(K72:K77)</f>
        <v>12</v>
      </c>
      <c r="M78">
        <f>SUM(M72:M77)</f>
        <v>18</v>
      </c>
    </row>
    <row r="79" spans="1:14">
      <c r="A79" s="24">
        <v>132</v>
      </c>
      <c r="B79" s="24" t="s">
        <v>71</v>
      </c>
      <c r="C79" s="24" t="s">
        <v>91</v>
      </c>
      <c r="D79" s="24" t="s">
        <v>34</v>
      </c>
      <c r="E79" s="24">
        <v>1</v>
      </c>
      <c r="F79" s="24" t="s">
        <v>102</v>
      </c>
      <c r="G79" s="24">
        <v>2</v>
      </c>
      <c r="H79" s="25">
        <v>0</v>
      </c>
      <c r="I79" s="36">
        <v>0</v>
      </c>
      <c r="J79" s="27">
        <f t="shared" ref="J79" si="1">G79</f>
        <v>2</v>
      </c>
      <c r="K79" s="27">
        <f t="shared" ref="K79" si="2">E79*H79</f>
        <v>0</v>
      </c>
      <c r="L79" s="27"/>
      <c r="M79" s="27"/>
      <c r="N79" s="37" t="s">
        <v>25</v>
      </c>
    </row>
    <row r="80" spans="1:14">
      <c r="A80" s="5">
        <v>7</v>
      </c>
      <c r="B80" s="5" t="s">
        <v>32</v>
      </c>
      <c r="C80" s="5" t="s">
        <v>33</v>
      </c>
      <c r="D80" s="5" t="s">
        <v>34</v>
      </c>
      <c r="E80" s="5">
        <v>2</v>
      </c>
      <c r="F80" s="5" t="s">
        <v>41</v>
      </c>
      <c r="G80" s="5">
        <v>0</v>
      </c>
      <c r="H80" s="6">
        <v>2</v>
      </c>
      <c r="I80" s="27">
        <v>0</v>
      </c>
      <c r="J80" s="27">
        <v>0</v>
      </c>
      <c r="K80" s="27">
        <v>4</v>
      </c>
      <c r="L80" s="27">
        <v>4</v>
      </c>
      <c r="N80" s="37" t="s">
        <v>25</v>
      </c>
    </row>
    <row r="81" spans="1:14">
      <c r="A81" s="7">
        <v>16</v>
      </c>
      <c r="B81" s="7" t="s">
        <v>32</v>
      </c>
      <c r="C81" s="7" t="s">
        <v>33</v>
      </c>
      <c r="D81" s="7" t="s">
        <v>44</v>
      </c>
      <c r="E81" s="7">
        <v>2</v>
      </c>
      <c r="F81" s="7" t="s">
        <v>41</v>
      </c>
      <c r="G81" s="7">
        <v>0</v>
      </c>
      <c r="H81" s="8">
        <v>2</v>
      </c>
      <c r="I81" s="29">
        <v>0</v>
      </c>
      <c r="J81" s="27">
        <v>0</v>
      </c>
      <c r="K81" s="27">
        <v>4</v>
      </c>
      <c r="L81" s="27">
        <v>4</v>
      </c>
      <c r="N81" s="37" t="s">
        <v>25</v>
      </c>
    </row>
    <row r="82" spans="1:14">
      <c r="A82" s="9">
        <v>25</v>
      </c>
      <c r="B82" s="9" t="s">
        <v>45</v>
      </c>
      <c r="C82" s="9" t="s">
        <v>33</v>
      </c>
      <c r="D82" s="9" t="s">
        <v>34</v>
      </c>
      <c r="E82" s="9">
        <v>2</v>
      </c>
      <c r="F82" s="10" t="s">
        <v>41</v>
      </c>
      <c r="G82" s="9">
        <v>0</v>
      </c>
      <c r="H82" s="11">
        <v>2</v>
      </c>
      <c r="I82" s="30">
        <v>0</v>
      </c>
      <c r="J82" s="27">
        <v>0</v>
      </c>
      <c r="K82" s="27">
        <v>4</v>
      </c>
      <c r="L82" s="27">
        <v>4</v>
      </c>
      <c r="N82" s="37" t="s">
        <v>25</v>
      </c>
    </row>
    <row r="83" spans="1:14">
      <c r="A83" s="5">
        <v>35</v>
      </c>
      <c r="B83" s="5" t="s">
        <v>45</v>
      </c>
      <c r="C83" s="5" t="s">
        <v>33</v>
      </c>
      <c r="D83" s="5" t="s">
        <v>44</v>
      </c>
      <c r="E83" s="5">
        <v>1</v>
      </c>
      <c r="F83" s="12" t="s">
        <v>41</v>
      </c>
      <c r="G83" s="5">
        <v>0</v>
      </c>
      <c r="H83" s="6">
        <v>2</v>
      </c>
      <c r="I83" s="27">
        <v>0</v>
      </c>
      <c r="J83" s="27">
        <v>0</v>
      </c>
      <c r="K83" s="27">
        <v>2</v>
      </c>
      <c r="L83" s="27">
        <v>2</v>
      </c>
      <c r="N83" s="37" t="s">
        <v>25</v>
      </c>
    </row>
    <row r="84" spans="1:14">
      <c r="A84" s="13">
        <v>44</v>
      </c>
      <c r="B84" s="13" t="s">
        <v>52</v>
      </c>
      <c r="C84" s="13" t="s">
        <v>33</v>
      </c>
      <c r="D84" s="13" t="s">
        <v>34</v>
      </c>
      <c r="E84" s="13">
        <v>2</v>
      </c>
      <c r="F84" s="13" t="s">
        <v>53</v>
      </c>
      <c r="G84" s="13">
        <v>0</v>
      </c>
      <c r="H84" s="14">
        <v>2</v>
      </c>
      <c r="I84" s="31">
        <v>0</v>
      </c>
      <c r="J84" s="27">
        <v>0</v>
      </c>
      <c r="K84" s="27">
        <v>4</v>
      </c>
      <c r="L84" s="27">
        <v>4</v>
      </c>
      <c r="N84" s="37" t="s">
        <v>25</v>
      </c>
    </row>
    <row r="86" spans="1:14">
      <c r="A86" s="9">
        <v>19</v>
      </c>
      <c r="B86" s="9" t="s">
        <v>45</v>
      </c>
      <c r="C86" s="9" t="s">
        <v>33</v>
      </c>
      <c r="D86" s="9" t="s">
        <v>34</v>
      </c>
      <c r="E86" s="9">
        <v>2</v>
      </c>
      <c r="F86" s="10" t="s">
        <v>35</v>
      </c>
      <c r="G86" s="9">
        <v>3</v>
      </c>
      <c r="H86" s="11">
        <v>2</v>
      </c>
      <c r="I86" s="30">
        <v>0</v>
      </c>
      <c r="J86" s="27">
        <v>3</v>
      </c>
      <c r="K86" s="27">
        <v>4</v>
      </c>
      <c r="L86" s="27"/>
      <c r="M86" s="27">
        <v>7</v>
      </c>
      <c r="N86" s="28" t="s">
        <v>26</v>
      </c>
    </row>
    <row r="87" spans="1:14">
      <c r="A87" s="5">
        <v>29</v>
      </c>
      <c r="B87" s="5" t="s">
        <v>45</v>
      </c>
      <c r="C87" s="5" t="s">
        <v>33</v>
      </c>
      <c r="D87" s="5" t="s">
        <v>44</v>
      </c>
      <c r="E87" s="5">
        <v>1</v>
      </c>
      <c r="F87" s="12" t="s">
        <v>35</v>
      </c>
      <c r="G87" s="5">
        <v>3</v>
      </c>
      <c r="H87" s="6">
        <v>2</v>
      </c>
      <c r="I87" s="27">
        <v>0</v>
      </c>
      <c r="J87" s="27">
        <v>3</v>
      </c>
      <c r="K87" s="27">
        <v>2</v>
      </c>
      <c r="L87" s="27"/>
      <c r="M87" s="27">
        <v>5</v>
      </c>
      <c r="N87" s="28" t="s">
        <v>26</v>
      </c>
    </row>
    <row r="88" spans="1:14">
      <c r="J88">
        <f>SUM(J86:J87)</f>
        <v>6</v>
      </c>
      <c r="K88">
        <f>SUM(K86:K87)</f>
        <v>6</v>
      </c>
      <c r="M88">
        <f>SUM(M86:M87)</f>
        <v>12</v>
      </c>
    </row>
    <row r="89" spans="1:14">
      <c r="A89" s="13">
        <v>42</v>
      </c>
      <c r="B89" s="13" t="s">
        <v>52</v>
      </c>
      <c r="C89" s="13" t="s">
        <v>33</v>
      </c>
      <c r="D89" s="13" t="s">
        <v>34</v>
      </c>
      <c r="E89" s="13">
        <v>2</v>
      </c>
      <c r="F89" s="13" t="s">
        <v>39</v>
      </c>
      <c r="G89" s="13">
        <v>2</v>
      </c>
      <c r="H89" s="14">
        <v>2</v>
      </c>
      <c r="I89" s="31">
        <v>0</v>
      </c>
      <c r="J89" s="27">
        <v>2</v>
      </c>
      <c r="K89" s="27">
        <v>4</v>
      </c>
      <c r="L89" s="27"/>
      <c r="M89" s="27">
        <v>6</v>
      </c>
      <c r="N89" s="37" t="s">
        <v>27</v>
      </c>
    </row>
    <row r="90" spans="1:14">
      <c r="A90" s="15">
        <v>68</v>
      </c>
      <c r="B90" s="15" t="s">
        <v>45</v>
      </c>
      <c r="C90" s="15" t="s">
        <v>55</v>
      </c>
      <c r="D90" s="15" t="s">
        <v>34</v>
      </c>
      <c r="E90" s="15">
        <v>2</v>
      </c>
      <c r="F90" s="15" t="s">
        <v>67</v>
      </c>
      <c r="G90" s="15">
        <v>3</v>
      </c>
      <c r="H90" s="16">
        <v>2</v>
      </c>
      <c r="I90" s="32">
        <v>0</v>
      </c>
      <c r="J90" s="27">
        <v>3</v>
      </c>
      <c r="K90" s="27">
        <v>4</v>
      </c>
      <c r="L90" s="27"/>
      <c r="M90" s="27">
        <v>7</v>
      </c>
      <c r="N90" s="37" t="s">
        <v>27</v>
      </c>
    </row>
    <row r="91" spans="1:14">
      <c r="A91" s="17">
        <v>75</v>
      </c>
      <c r="B91" s="17" t="s">
        <v>45</v>
      </c>
      <c r="C91" s="17" t="s">
        <v>55</v>
      </c>
      <c r="D91" s="17" t="s">
        <v>44</v>
      </c>
      <c r="E91" s="17">
        <v>1</v>
      </c>
      <c r="F91" s="17" t="s">
        <v>67</v>
      </c>
      <c r="G91" s="17">
        <v>3</v>
      </c>
      <c r="H91" s="18">
        <v>2</v>
      </c>
      <c r="I91" s="33">
        <v>0</v>
      </c>
      <c r="J91" s="27">
        <v>3</v>
      </c>
      <c r="K91" s="27">
        <v>2</v>
      </c>
      <c r="L91" s="27"/>
      <c r="M91" s="27">
        <v>5</v>
      </c>
      <c r="N91" s="37" t="s">
        <v>27</v>
      </c>
    </row>
    <row r="92" spans="1:14">
      <c r="J92">
        <f>SUM(J89:J91)</f>
        <v>8</v>
      </c>
      <c r="K92">
        <f>SUM(K89:K91)</f>
        <v>10</v>
      </c>
      <c r="M92">
        <f>SUM(M89:M91)</f>
        <v>18</v>
      </c>
    </row>
    <row r="93" spans="1:14">
      <c r="A93" s="15">
        <v>67</v>
      </c>
      <c r="B93" s="15" t="s">
        <v>45</v>
      </c>
      <c r="C93" s="15" t="s">
        <v>55</v>
      </c>
      <c r="D93" s="15" t="s">
        <v>34</v>
      </c>
      <c r="E93" s="15">
        <v>2</v>
      </c>
      <c r="F93" s="15" t="s">
        <v>66</v>
      </c>
      <c r="G93" s="15">
        <v>3</v>
      </c>
      <c r="H93" s="16">
        <v>2</v>
      </c>
      <c r="I93" s="32">
        <v>0</v>
      </c>
      <c r="J93" s="27">
        <v>3</v>
      </c>
      <c r="K93" s="27">
        <v>4</v>
      </c>
      <c r="L93" s="27"/>
      <c r="M93" s="27">
        <v>7</v>
      </c>
      <c r="N93" s="37" t="s">
        <v>28</v>
      </c>
    </row>
    <row r="94" spans="1:14">
      <c r="A94" s="19">
        <v>91</v>
      </c>
      <c r="B94" s="19" t="s">
        <v>72</v>
      </c>
      <c r="C94" s="19" t="s">
        <v>73</v>
      </c>
      <c r="D94" s="19" t="s">
        <v>34</v>
      </c>
      <c r="E94" s="19">
        <v>2</v>
      </c>
      <c r="F94" s="19" t="s">
        <v>75</v>
      </c>
      <c r="G94" s="19">
        <v>2</v>
      </c>
      <c r="H94" s="20">
        <v>2</v>
      </c>
      <c r="I94" s="34">
        <v>0</v>
      </c>
      <c r="J94" s="27">
        <v>2</v>
      </c>
      <c r="K94" s="27">
        <v>4</v>
      </c>
      <c r="L94" s="27"/>
      <c r="M94" s="27">
        <v>6</v>
      </c>
      <c r="N94" s="37" t="s">
        <v>28</v>
      </c>
    </row>
    <row r="95" spans="1:14">
      <c r="A95" s="22">
        <v>103</v>
      </c>
      <c r="B95" s="22" t="s">
        <v>52</v>
      </c>
      <c r="C95" s="22" t="s">
        <v>73</v>
      </c>
      <c r="D95" s="22" t="s">
        <v>44</v>
      </c>
      <c r="E95" s="22">
        <v>2</v>
      </c>
      <c r="F95" s="22" t="s">
        <v>75</v>
      </c>
      <c r="G95" s="22">
        <v>2</v>
      </c>
      <c r="H95" s="23">
        <v>2</v>
      </c>
      <c r="I95" s="35">
        <v>0</v>
      </c>
      <c r="J95" s="27">
        <v>2</v>
      </c>
      <c r="K95" s="27">
        <v>4</v>
      </c>
      <c r="L95" s="27"/>
      <c r="M95" s="27">
        <v>6</v>
      </c>
      <c r="N95" s="37" t="s">
        <v>28</v>
      </c>
    </row>
    <row r="96" spans="1:14">
      <c r="J96">
        <f>SUM(J93:J95)</f>
        <v>7</v>
      </c>
      <c r="K96">
        <f>SUM(K93:K95)</f>
        <v>12</v>
      </c>
      <c r="M96">
        <f>SUM(M93:M95)</f>
        <v>19</v>
      </c>
    </row>
    <row r="97" spans="1:14">
      <c r="A97" s="22">
        <v>101</v>
      </c>
      <c r="B97" s="22" t="s">
        <v>118</v>
      </c>
      <c r="C97" s="22" t="s">
        <v>73</v>
      </c>
      <c r="D97" s="22" t="s">
        <v>44</v>
      </c>
      <c r="E97" s="22">
        <v>2</v>
      </c>
      <c r="F97" s="67" t="s">
        <v>74</v>
      </c>
      <c r="G97" s="22">
        <v>2</v>
      </c>
      <c r="H97" s="23">
        <v>2</v>
      </c>
      <c r="I97" s="35">
        <v>0</v>
      </c>
      <c r="J97" s="27">
        <f t="shared" ref="J97" si="3">G97</f>
        <v>2</v>
      </c>
      <c r="K97" s="27">
        <f t="shared" ref="K97" si="4">E97*H97</f>
        <v>4</v>
      </c>
      <c r="L97" s="27">
        <f t="shared" ref="L97" si="5">J97+K97</f>
        <v>6</v>
      </c>
      <c r="M97" s="71" t="s">
        <v>29</v>
      </c>
      <c r="N97" s="28" t="s">
        <v>29</v>
      </c>
    </row>
    <row r="98" spans="1:14">
      <c r="A98" s="15">
        <v>69</v>
      </c>
      <c r="B98" s="15" t="s">
        <v>45</v>
      </c>
      <c r="C98" s="15" t="s">
        <v>55</v>
      </c>
      <c r="D98" s="15" t="s">
        <v>34</v>
      </c>
      <c r="E98" s="15">
        <v>2</v>
      </c>
      <c r="F98" s="15" t="s">
        <v>59</v>
      </c>
      <c r="G98" s="15">
        <v>2</v>
      </c>
      <c r="H98" s="16">
        <v>2</v>
      </c>
      <c r="I98" s="32">
        <v>0</v>
      </c>
      <c r="J98" s="27">
        <v>2</v>
      </c>
      <c r="K98" s="27">
        <v>4</v>
      </c>
      <c r="L98" s="27"/>
      <c r="M98" s="27">
        <v>6</v>
      </c>
      <c r="N98" s="28" t="s">
        <v>29</v>
      </c>
    </row>
    <row r="99" spans="1:14">
      <c r="A99" s="19">
        <v>94</v>
      </c>
      <c r="B99" s="19" t="s">
        <v>72</v>
      </c>
      <c r="C99" s="21" t="s">
        <v>33</v>
      </c>
      <c r="D99" s="21" t="s">
        <v>34</v>
      </c>
      <c r="E99" s="21">
        <v>1</v>
      </c>
      <c r="F99" s="21" t="s">
        <v>78</v>
      </c>
      <c r="G99" s="19">
        <v>2</v>
      </c>
      <c r="H99" s="20">
        <v>2</v>
      </c>
      <c r="I99" s="34">
        <v>0</v>
      </c>
      <c r="J99" s="27">
        <v>2</v>
      </c>
      <c r="K99" s="27">
        <v>2</v>
      </c>
      <c r="L99" s="27"/>
      <c r="M99" s="27">
        <v>4</v>
      </c>
      <c r="N99" s="28" t="s">
        <v>29</v>
      </c>
    </row>
    <row r="100" spans="1:14">
      <c r="A100" s="22">
        <v>106</v>
      </c>
      <c r="B100" s="21" t="s">
        <v>76</v>
      </c>
      <c r="C100" s="21" t="s">
        <v>33</v>
      </c>
      <c r="D100" s="21" t="s">
        <v>44</v>
      </c>
      <c r="E100" s="21">
        <v>2</v>
      </c>
      <c r="F100" s="21" t="s">
        <v>78</v>
      </c>
      <c r="G100" s="22">
        <v>2</v>
      </c>
      <c r="H100" s="23">
        <v>2</v>
      </c>
      <c r="I100" s="35">
        <v>0</v>
      </c>
      <c r="J100" s="27"/>
      <c r="K100" s="27">
        <v>4</v>
      </c>
      <c r="L100" s="27"/>
      <c r="M100" s="27"/>
      <c r="N100" s="28" t="s">
        <v>29</v>
      </c>
    </row>
    <row r="102" spans="1:14">
      <c r="A102" s="9">
        <v>28</v>
      </c>
      <c r="B102" s="9" t="s">
        <v>45</v>
      </c>
      <c r="C102" s="9" t="s">
        <v>33</v>
      </c>
      <c r="D102" s="9" t="s">
        <v>34</v>
      </c>
      <c r="E102" s="9">
        <v>2</v>
      </c>
      <c r="F102" s="10" t="s">
        <v>51</v>
      </c>
      <c r="G102" s="9">
        <v>0</v>
      </c>
      <c r="H102" s="11">
        <v>2</v>
      </c>
      <c r="I102" s="30">
        <v>0</v>
      </c>
      <c r="J102" s="27">
        <v>0</v>
      </c>
      <c r="K102" s="27">
        <v>4</v>
      </c>
      <c r="L102" s="27"/>
      <c r="M102" s="27">
        <v>4</v>
      </c>
      <c r="N102" s="37" t="s">
        <v>30</v>
      </c>
    </row>
    <row r="103" spans="1:14">
      <c r="A103" s="5">
        <v>38</v>
      </c>
      <c r="B103" s="5" t="s">
        <v>45</v>
      </c>
      <c r="C103" s="5" t="s">
        <v>33</v>
      </c>
      <c r="D103" s="5" t="s">
        <v>44</v>
      </c>
      <c r="E103" s="5">
        <v>1</v>
      </c>
      <c r="F103" s="12" t="s">
        <v>51</v>
      </c>
      <c r="G103" s="5">
        <v>0</v>
      </c>
      <c r="H103" s="6">
        <v>2</v>
      </c>
      <c r="I103" s="27">
        <v>0</v>
      </c>
      <c r="J103" s="27">
        <v>0</v>
      </c>
      <c r="K103" s="27">
        <v>2</v>
      </c>
      <c r="L103" s="27"/>
      <c r="M103" s="27">
        <v>2</v>
      </c>
      <c r="N103" s="37" t="s">
        <v>30</v>
      </c>
    </row>
    <row r="104" spans="1:14">
      <c r="A104" s="24">
        <v>130</v>
      </c>
      <c r="B104" s="24" t="s">
        <v>71</v>
      </c>
      <c r="C104" s="24" t="s">
        <v>91</v>
      </c>
      <c r="D104" s="24" t="s">
        <v>34</v>
      </c>
      <c r="E104" s="24">
        <v>1</v>
      </c>
      <c r="F104" s="24" t="s">
        <v>100</v>
      </c>
      <c r="G104" s="24">
        <v>2</v>
      </c>
      <c r="H104" s="25">
        <v>0</v>
      </c>
      <c r="I104" s="36">
        <v>0</v>
      </c>
      <c r="J104" s="27">
        <v>2</v>
      </c>
      <c r="K104" s="27">
        <v>0</v>
      </c>
      <c r="L104" s="27"/>
      <c r="M104" s="27">
        <v>2</v>
      </c>
      <c r="N104" s="37" t="s">
        <v>30</v>
      </c>
    </row>
    <row r="105" spans="1:14">
      <c r="A105" s="24">
        <v>131</v>
      </c>
      <c r="B105" s="24" t="s">
        <v>71</v>
      </c>
      <c r="C105" s="24" t="s">
        <v>91</v>
      </c>
      <c r="D105" s="24" t="s">
        <v>34</v>
      </c>
      <c r="E105" s="24">
        <v>1</v>
      </c>
      <c r="F105" s="24" t="s">
        <v>101</v>
      </c>
      <c r="G105" s="24">
        <v>2</v>
      </c>
      <c r="H105" s="25">
        <v>0</v>
      </c>
      <c r="I105" s="36">
        <v>0</v>
      </c>
      <c r="J105" s="27">
        <v>2</v>
      </c>
      <c r="K105" s="27">
        <v>0</v>
      </c>
      <c r="L105" s="27"/>
      <c r="M105" s="27">
        <v>2</v>
      </c>
      <c r="N105" s="37" t="s">
        <v>30</v>
      </c>
    </row>
    <row r="106" spans="1:14">
      <c r="A106" s="15">
        <v>56</v>
      </c>
      <c r="B106" s="15" t="s">
        <v>32</v>
      </c>
      <c r="C106" s="15" t="s">
        <v>55</v>
      </c>
      <c r="D106" s="15" t="s">
        <v>34</v>
      </c>
      <c r="E106" s="15">
        <v>2</v>
      </c>
      <c r="F106" s="15" t="s">
        <v>64</v>
      </c>
      <c r="G106" s="15">
        <v>0</v>
      </c>
      <c r="H106" s="16">
        <v>2</v>
      </c>
      <c r="I106" s="32">
        <v>0</v>
      </c>
      <c r="J106" s="27">
        <f t="shared" ref="J106" si="6">G106</f>
        <v>0</v>
      </c>
      <c r="K106" s="27">
        <f t="shared" ref="K106" si="7">E106*H106</f>
        <v>4</v>
      </c>
      <c r="L106" s="27"/>
      <c r="M106" s="28"/>
      <c r="N106" s="38" t="s">
        <v>30</v>
      </c>
    </row>
    <row r="107" spans="1:14">
      <c r="A107" s="24">
        <v>128</v>
      </c>
      <c r="B107" s="24" t="s">
        <v>71</v>
      </c>
      <c r="C107" s="24" t="s">
        <v>91</v>
      </c>
      <c r="D107" s="24" t="s">
        <v>34</v>
      </c>
      <c r="E107" s="24">
        <v>1</v>
      </c>
      <c r="F107" s="24" t="s">
        <v>98</v>
      </c>
      <c r="G107" s="24">
        <v>2</v>
      </c>
      <c r="H107" s="25">
        <v>0</v>
      </c>
      <c r="I107" s="36">
        <v>0</v>
      </c>
      <c r="J107" s="27">
        <v>2</v>
      </c>
      <c r="K107" s="27">
        <v>0</v>
      </c>
      <c r="L107" s="27"/>
      <c r="M107" s="27">
        <v>2</v>
      </c>
      <c r="N107" s="37" t="s">
        <v>30</v>
      </c>
    </row>
    <row r="108" spans="1:14">
      <c r="A108" s="47"/>
      <c r="B108" s="47"/>
      <c r="C108" s="47"/>
      <c r="D108" s="47"/>
      <c r="E108" s="47"/>
      <c r="F108" s="47"/>
      <c r="G108" s="47"/>
      <c r="H108" s="48"/>
      <c r="I108" s="49"/>
      <c r="J108" s="50"/>
      <c r="K108" s="50"/>
      <c r="L108" s="50"/>
      <c r="M108" s="51"/>
      <c r="N108" s="52"/>
    </row>
    <row r="109" spans="1:14">
      <c r="A109" s="5">
        <v>5</v>
      </c>
      <c r="B109" s="5" t="s">
        <v>32</v>
      </c>
      <c r="C109" s="5" t="s">
        <v>33</v>
      </c>
      <c r="D109" s="5" t="s">
        <v>34</v>
      </c>
      <c r="E109" s="5">
        <v>2</v>
      </c>
      <c r="F109" s="5" t="s">
        <v>39</v>
      </c>
      <c r="G109" s="5">
        <v>2</v>
      </c>
      <c r="H109" s="6">
        <v>2</v>
      </c>
      <c r="I109" s="27">
        <v>0</v>
      </c>
      <c r="J109" s="27">
        <v>2</v>
      </c>
      <c r="K109" s="27">
        <v>4</v>
      </c>
      <c r="L109" s="27"/>
      <c r="M109" s="27">
        <v>6</v>
      </c>
      <c r="N109" s="37" t="s">
        <v>31</v>
      </c>
    </row>
    <row r="110" spans="1:14">
      <c r="A110" s="7">
        <v>14</v>
      </c>
      <c r="B110" s="7" t="s">
        <v>32</v>
      </c>
      <c r="C110" s="7" t="s">
        <v>33</v>
      </c>
      <c r="D110" s="7" t="s">
        <v>44</v>
      </c>
      <c r="E110" s="7">
        <v>2</v>
      </c>
      <c r="F110" s="7" t="s">
        <v>39</v>
      </c>
      <c r="G110" s="7">
        <v>2</v>
      </c>
      <c r="H110" s="8">
        <v>2</v>
      </c>
      <c r="I110" s="29">
        <v>0</v>
      </c>
      <c r="J110" s="27">
        <v>2</v>
      </c>
      <c r="K110" s="27">
        <v>4</v>
      </c>
      <c r="L110" s="27"/>
      <c r="M110" s="27">
        <v>6</v>
      </c>
      <c r="N110" s="37" t="s">
        <v>31</v>
      </c>
    </row>
    <row r="111" spans="1:14">
      <c r="A111" s="9">
        <v>20</v>
      </c>
      <c r="B111" s="9" t="s">
        <v>45</v>
      </c>
      <c r="C111" s="9" t="s">
        <v>33</v>
      </c>
      <c r="D111" s="9" t="s">
        <v>34</v>
      </c>
      <c r="E111" s="9">
        <v>2</v>
      </c>
      <c r="F111" s="10" t="s">
        <v>46</v>
      </c>
      <c r="G111" s="9">
        <v>1</v>
      </c>
      <c r="H111" s="11">
        <v>2</v>
      </c>
      <c r="I111" s="30">
        <v>0</v>
      </c>
      <c r="J111" s="27">
        <v>1</v>
      </c>
      <c r="K111" s="27">
        <v>4</v>
      </c>
      <c r="L111" s="27"/>
      <c r="M111" s="27">
        <v>5</v>
      </c>
      <c r="N111" s="37" t="s">
        <v>31</v>
      </c>
    </row>
    <row r="112" spans="1:14">
      <c r="A112" s="5">
        <v>30</v>
      </c>
      <c r="B112" s="5" t="s">
        <v>45</v>
      </c>
      <c r="C112" s="5" t="s">
        <v>33</v>
      </c>
      <c r="D112" s="5" t="s">
        <v>44</v>
      </c>
      <c r="E112" s="5">
        <v>1</v>
      </c>
      <c r="F112" s="12" t="s">
        <v>46</v>
      </c>
      <c r="G112" s="5">
        <v>1</v>
      </c>
      <c r="H112" s="6">
        <v>2</v>
      </c>
      <c r="I112" s="27">
        <v>0</v>
      </c>
      <c r="J112" s="27">
        <v>1</v>
      </c>
      <c r="K112" s="27">
        <v>2</v>
      </c>
      <c r="L112" s="27"/>
      <c r="M112" s="27">
        <v>3</v>
      </c>
      <c r="N112" s="37" t="s">
        <v>31</v>
      </c>
    </row>
    <row r="114" spans="1:14">
      <c r="A114" s="93">
        <v>8</v>
      </c>
      <c r="B114" s="93" t="s">
        <v>32</v>
      </c>
      <c r="C114" s="93" t="s">
        <v>33</v>
      </c>
      <c r="D114" s="93" t="s">
        <v>34</v>
      </c>
      <c r="E114" s="93">
        <v>2</v>
      </c>
      <c r="F114" s="96" t="s">
        <v>42</v>
      </c>
      <c r="G114" s="93">
        <v>0</v>
      </c>
      <c r="H114" s="95">
        <v>2</v>
      </c>
      <c r="I114" s="77">
        <v>2</v>
      </c>
      <c r="J114" s="77">
        <v>0</v>
      </c>
      <c r="K114" s="77">
        <v>4</v>
      </c>
      <c r="L114" s="77">
        <v>8</v>
      </c>
      <c r="M114" s="78" t="s">
        <v>125</v>
      </c>
    </row>
    <row r="115" spans="1:14">
      <c r="A115" s="80">
        <v>66</v>
      </c>
      <c r="B115" s="80" t="s">
        <v>45</v>
      </c>
      <c r="C115" s="80" t="s">
        <v>55</v>
      </c>
      <c r="D115" s="80" t="s">
        <v>34</v>
      </c>
      <c r="E115" s="80">
        <v>2</v>
      </c>
      <c r="F115" s="81" t="s">
        <v>65</v>
      </c>
      <c r="G115" s="80">
        <v>2</v>
      </c>
      <c r="H115" s="82">
        <v>2</v>
      </c>
      <c r="I115" s="83">
        <v>0</v>
      </c>
      <c r="J115" s="77">
        <v>2</v>
      </c>
      <c r="K115" s="77">
        <v>4</v>
      </c>
      <c r="L115" s="77">
        <v>6</v>
      </c>
      <c r="M115" s="78" t="s">
        <v>125</v>
      </c>
    </row>
    <row r="116" spans="1:14">
      <c r="A116" s="73">
        <v>73</v>
      </c>
      <c r="B116" s="73" t="s">
        <v>45</v>
      </c>
      <c r="C116" s="73" t="s">
        <v>55</v>
      </c>
      <c r="D116" s="73" t="s">
        <v>44</v>
      </c>
      <c r="E116" s="73">
        <v>1</v>
      </c>
      <c r="F116" s="74" t="s">
        <v>65</v>
      </c>
      <c r="G116" s="73">
        <v>2</v>
      </c>
      <c r="H116" s="75">
        <v>2</v>
      </c>
      <c r="I116" s="76">
        <v>0</v>
      </c>
      <c r="J116" s="77">
        <v>2</v>
      </c>
      <c r="K116" s="77">
        <v>2</v>
      </c>
      <c r="L116" s="77">
        <v>4</v>
      </c>
      <c r="M116" s="78" t="s">
        <v>125</v>
      </c>
    </row>
    <row r="117" spans="1:14">
      <c r="L117" s="100">
        <v>18</v>
      </c>
    </row>
    <row r="118" spans="1:14">
      <c r="A118" s="89">
        <v>104</v>
      </c>
      <c r="B118" s="89" t="s">
        <v>118</v>
      </c>
      <c r="C118" s="89" t="s">
        <v>73</v>
      </c>
      <c r="D118" s="85" t="s">
        <v>44</v>
      </c>
      <c r="E118" s="85">
        <v>2</v>
      </c>
      <c r="F118" s="86" t="s">
        <v>119</v>
      </c>
      <c r="G118" s="89">
        <v>2</v>
      </c>
      <c r="H118" s="90">
        <v>2</v>
      </c>
      <c r="I118" s="91">
        <v>0</v>
      </c>
      <c r="J118" s="77">
        <v>2</v>
      </c>
      <c r="K118" s="77">
        <v>4</v>
      </c>
      <c r="L118" s="77">
        <v>6</v>
      </c>
      <c r="M118" s="78" t="s">
        <v>126</v>
      </c>
    </row>
    <row r="119" spans="1:14">
      <c r="A119" s="84">
        <v>113</v>
      </c>
      <c r="B119" s="84" t="s">
        <v>45</v>
      </c>
      <c r="C119" s="84" t="s">
        <v>73</v>
      </c>
      <c r="D119" s="84" t="s">
        <v>34</v>
      </c>
      <c r="E119" s="84">
        <v>1</v>
      </c>
      <c r="F119" s="92" t="s">
        <v>77</v>
      </c>
      <c r="G119" s="84">
        <v>2</v>
      </c>
      <c r="H119" s="87">
        <v>2</v>
      </c>
      <c r="I119" s="88">
        <v>0</v>
      </c>
      <c r="J119" s="77">
        <v>2</v>
      </c>
      <c r="K119" s="77">
        <v>2</v>
      </c>
      <c r="L119" s="77">
        <v>4</v>
      </c>
      <c r="M119" s="78" t="s">
        <v>126</v>
      </c>
    </row>
    <row r="120" spans="1:14">
      <c r="A120" s="84">
        <v>117</v>
      </c>
      <c r="B120" s="85" t="s">
        <v>45</v>
      </c>
      <c r="C120" s="85" t="s">
        <v>73</v>
      </c>
      <c r="D120" s="85" t="s">
        <v>34</v>
      </c>
      <c r="E120" s="85">
        <v>1</v>
      </c>
      <c r="F120" s="86" t="s">
        <v>87</v>
      </c>
      <c r="G120" s="84">
        <v>2</v>
      </c>
      <c r="H120" s="87">
        <v>2</v>
      </c>
      <c r="I120" s="88">
        <v>0</v>
      </c>
      <c r="J120" s="77">
        <v>2</v>
      </c>
      <c r="K120" s="77">
        <v>2</v>
      </c>
      <c r="L120" s="77">
        <v>4</v>
      </c>
      <c r="M120" s="78" t="s">
        <v>126</v>
      </c>
    </row>
    <row r="121" spans="1:14">
      <c r="A121" s="93">
        <v>33</v>
      </c>
      <c r="B121" s="93" t="s">
        <v>45</v>
      </c>
      <c r="C121" s="93" t="s">
        <v>33</v>
      </c>
      <c r="D121" s="93" t="s">
        <v>44</v>
      </c>
      <c r="E121" s="93">
        <v>1</v>
      </c>
      <c r="F121" s="94" t="s">
        <v>49</v>
      </c>
      <c r="G121" s="93">
        <v>1</v>
      </c>
      <c r="H121" s="95">
        <v>2</v>
      </c>
      <c r="I121" s="77">
        <v>0</v>
      </c>
      <c r="J121" s="77">
        <v>1</v>
      </c>
      <c r="K121" s="77">
        <v>2</v>
      </c>
      <c r="L121" s="77">
        <v>3</v>
      </c>
      <c r="M121" s="183" t="s">
        <v>126</v>
      </c>
    </row>
    <row r="122" spans="1:14">
      <c r="A122" s="93"/>
      <c r="B122" s="93"/>
      <c r="C122" s="93"/>
      <c r="D122" s="93"/>
      <c r="E122" s="93"/>
      <c r="F122" s="94"/>
      <c r="G122" s="93"/>
      <c r="H122" s="95"/>
      <c r="I122" s="77"/>
      <c r="J122" s="77"/>
      <c r="K122" s="77"/>
      <c r="L122" s="77">
        <v>17</v>
      </c>
      <c r="M122" s="183"/>
    </row>
    <row r="123" spans="1:14">
      <c r="A123" s="73">
        <v>61</v>
      </c>
      <c r="B123" s="73" t="s">
        <v>32</v>
      </c>
      <c r="C123" s="73" t="s">
        <v>55</v>
      </c>
      <c r="D123" s="73" t="s">
        <v>44</v>
      </c>
      <c r="E123" s="73">
        <v>2</v>
      </c>
      <c r="F123" s="74" t="s">
        <v>60</v>
      </c>
      <c r="G123" s="73">
        <v>3</v>
      </c>
      <c r="H123" s="75">
        <v>2</v>
      </c>
      <c r="I123" s="76">
        <v>0</v>
      </c>
      <c r="J123" s="77">
        <v>3</v>
      </c>
      <c r="K123" s="77">
        <v>4</v>
      </c>
      <c r="L123" s="77">
        <v>7</v>
      </c>
      <c r="M123" s="129" t="s">
        <v>133</v>
      </c>
    </row>
    <row r="124" spans="1:14">
      <c r="A124" s="73">
        <v>64</v>
      </c>
      <c r="B124" s="73" t="s">
        <v>32</v>
      </c>
      <c r="C124" s="73" t="s">
        <v>55</v>
      </c>
      <c r="D124" s="73" t="s">
        <v>44</v>
      </c>
      <c r="E124" s="73">
        <v>2</v>
      </c>
      <c r="F124" s="74" t="s">
        <v>63</v>
      </c>
      <c r="G124" s="73">
        <v>0</v>
      </c>
      <c r="H124" s="75">
        <v>2</v>
      </c>
      <c r="I124" s="76">
        <v>0</v>
      </c>
      <c r="J124" s="77">
        <v>0</v>
      </c>
      <c r="K124" s="77">
        <v>4</v>
      </c>
      <c r="L124" s="77">
        <v>4</v>
      </c>
      <c r="M124" s="78" t="s">
        <v>129</v>
      </c>
    </row>
    <row r="125" spans="1:14">
      <c r="A125" s="80">
        <v>87</v>
      </c>
      <c r="B125" s="80" t="s">
        <v>71</v>
      </c>
      <c r="C125" s="80" t="s">
        <v>55</v>
      </c>
      <c r="D125" s="80" t="s">
        <v>34</v>
      </c>
      <c r="E125" s="80">
        <v>1</v>
      </c>
      <c r="F125" s="81" t="s">
        <v>63</v>
      </c>
      <c r="G125" s="80">
        <v>0</v>
      </c>
      <c r="H125" s="82">
        <v>2</v>
      </c>
      <c r="I125" s="83">
        <v>0</v>
      </c>
      <c r="J125" s="77">
        <v>0</v>
      </c>
      <c r="K125" s="77">
        <v>2</v>
      </c>
      <c r="L125" s="77">
        <v>2</v>
      </c>
      <c r="M125" s="78" t="s">
        <v>129</v>
      </c>
    </row>
    <row r="127" spans="1:14">
      <c r="A127" s="55">
        <v>17</v>
      </c>
      <c r="B127" s="55" t="s">
        <v>32</v>
      </c>
      <c r="C127" s="55" t="s">
        <v>33</v>
      </c>
      <c r="D127" s="55" t="s">
        <v>44</v>
      </c>
      <c r="E127" s="55">
        <v>2</v>
      </c>
      <c r="F127" s="97" t="s">
        <v>42</v>
      </c>
      <c r="G127" s="55">
        <v>0</v>
      </c>
      <c r="H127" s="56">
        <v>2</v>
      </c>
      <c r="I127" s="57">
        <v>2</v>
      </c>
      <c r="J127" s="45">
        <v>0</v>
      </c>
      <c r="K127" s="45">
        <v>4</v>
      </c>
      <c r="L127" s="45">
        <v>8</v>
      </c>
      <c r="M127" s="72" t="s">
        <v>128</v>
      </c>
      <c r="N127" s="182"/>
    </row>
    <row r="128" spans="1:14">
      <c r="A128" s="58">
        <v>43</v>
      </c>
      <c r="B128" s="58" t="s">
        <v>52</v>
      </c>
      <c r="C128" s="58" t="s">
        <v>33</v>
      </c>
      <c r="D128" s="58" t="s">
        <v>34</v>
      </c>
      <c r="E128" s="58">
        <v>2</v>
      </c>
      <c r="F128" s="98" t="s">
        <v>42</v>
      </c>
      <c r="G128" s="58">
        <v>0</v>
      </c>
      <c r="H128" s="59">
        <v>2</v>
      </c>
      <c r="I128" s="60">
        <v>2</v>
      </c>
      <c r="J128" s="45">
        <v>0</v>
      </c>
      <c r="K128" s="45">
        <v>4</v>
      </c>
      <c r="L128" s="45">
        <v>8</v>
      </c>
      <c r="M128" s="72" t="s">
        <v>128</v>
      </c>
    </row>
    <row r="129" spans="1:13">
      <c r="A129" s="61">
        <v>133</v>
      </c>
      <c r="B129" s="61" t="s">
        <v>71</v>
      </c>
      <c r="C129" s="61" t="s">
        <v>91</v>
      </c>
      <c r="D129" s="61" t="s">
        <v>34</v>
      </c>
      <c r="E129" s="61">
        <v>1</v>
      </c>
      <c r="F129" s="99" t="s">
        <v>103</v>
      </c>
      <c r="G129" s="61">
        <v>2</v>
      </c>
      <c r="H129" s="62">
        <v>0</v>
      </c>
      <c r="I129" s="63">
        <v>0</v>
      </c>
      <c r="J129" s="45">
        <v>2</v>
      </c>
      <c r="K129" s="45">
        <v>0</v>
      </c>
      <c r="L129" s="45">
        <v>2</v>
      </c>
      <c r="M129" s="72" t="s">
        <v>128</v>
      </c>
    </row>
    <row r="130" spans="1:13">
      <c r="F130" t="s">
        <v>132</v>
      </c>
      <c r="G130">
        <v>2</v>
      </c>
      <c r="H130">
        <v>0</v>
      </c>
      <c r="I130">
        <v>0</v>
      </c>
      <c r="J130" s="128">
        <v>0</v>
      </c>
      <c r="L130">
        <v>4</v>
      </c>
    </row>
    <row r="131" spans="1:13">
      <c r="L131" s="128">
        <v>22</v>
      </c>
    </row>
  </sheetData>
  <pageMargins left="0.7" right="0.7" top="0.75" bottom="0.75" header="0.3" footer="0.3"/>
  <pageSetup paperSize="9" scale="53" orientation="landscape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Khare (Dr.)</dc:creator>
  <cp:lastModifiedBy>Mukund Sharma</cp:lastModifiedBy>
  <cp:lastPrinted>2025-12-10T11:10:19Z</cp:lastPrinted>
  <dcterms:created xsi:type="dcterms:W3CDTF">2025-11-18T09:30:33Z</dcterms:created>
  <dcterms:modified xsi:type="dcterms:W3CDTF">2026-06-20T20:08:31Z</dcterms:modified>
</cp:coreProperties>
</file>